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sf-my.sharepoint.com/personal/u10114272_basfad_basf_net/Documents/Desktop/Project - 3 Statement Financial Model for AI/"/>
    </mc:Choice>
  </mc:AlternateContent>
  <xr:revisionPtr revIDLastSave="770" documentId="8_{2720BF72-9BEB-48ED-844F-272DF88C63BB}" xr6:coauthVersionLast="47" xr6:coauthVersionMax="47" xr10:uidLastSave="{56D8277D-3481-4C75-8620-22DACD04CD99}"/>
  <bookViews>
    <workbookView xWindow="-110" yWindow="-110" windowWidth="19420" windowHeight="10300" firstSheet="2" activeTab="2" xr2:uid="{5BB22CBA-EEAF-436A-9CEB-7237DA9EEFAD}"/>
  </bookViews>
  <sheets>
    <sheet name="Raw P&amp;L" sheetId="5" r:id="rId1"/>
    <sheet name="Raw Comprehensive Income (Loss)" sheetId="1" r:id="rId2"/>
    <sheet name="Raw Balance Sheet" sheetId="2" r:id="rId3"/>
    <sheet name="Raw Cash Flow" sheetId="3" r:id="rId4"/>
    <sheet name="Summarized Statements" sheetId="7" r:id="rId5"/>
    <sheet name="Formula Sheet" sheetId="10" r:id="rId6"/>
  </sheets>
  <definedNames>
    <definedName name="_xlnm._FilterDatabase" localSheetId="5" hidden="1">'Formula Sheet'!$A$1:$E$62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7" l="1"/>
  <c r="B79" i="7"/>
  <c r="B78" i="7"/>
  <c r="F77" i="7"/>
  <c r="E77" i="7"/>
  <c r="D77" i="7"/>
  <c r="C77" i="7"/>
  <c r="B77" i="7"/>
  <c r="F67" i="7"/>
  <c r="E67" i="7"/>
  <c r="D67" i="7"/>
  <c r="C67" i="7"/>
  <c r="F66" i="7"/>
  <c r="E66" i="7"/>
  <c r="D66" i="7"/>
  <c r="C66" i="7"/>
  <c r="F65" i="7"/>
  <c r="E65" i="7"/>
  <c r="D65" i="7"/>
  <c r="C65" i="7"/>
  <c r="B67" i="7"/>
  <c r="B66" i="7"/>
  <c r="B65" i="7"/>
  <c r="F62" i="7"/>
  <c r="E62" i="7"/>
  <c r="D62" i="7"/>
  <c r="C62" i="7"/>
  <c r="B62" i="7"/>
  <c r="F44" i="7"/>
  <c r="E44" i="7"/>
  <c r="D44" i="7"/>
  <c r="C44" i="7"/>
  <c r="B44" i="7"/>
  <c r="F54" i="7"/>
  <c r="E54" i="7"/>
  <c r="D54" i="7"/>
  <c r="C54" i="7"/>
  <c r="F53" i="7"/>
  <c r="E53" i="7"/>
  <c r="D53" i="7"/>
  <c r="C53" i="7"/>
  <c r="F52" i="7"/>
  <c r="E52" i="7"/>
  <c r="D52" i="7"/>
  <c r="C52" i="7"/>
  <c r="F51" i="7"/>
  <c r="E51" i="7"/>
  <c r="D51" i="7"/>
  <c r="D55" i="7" s="1"/>
  <c r="C51" i="7"/>
  <c r="C55" i="7" s="1"/>
  <c r="B54" i="7"/>
  <c r="B53" i="7"/>
  <c r="B52" i="7"/>
  <c r="B51" i="7"/>
  <c r="B55" i="7" s="1"/>
  <c r="F47" i="7"/>
  <c r="E47" i="7"/>
  <c r="D47" i="7"/>
  <c r="C47" i="7"/>
  <c r="F46" i="7"/>
  <c r="E46" i="7"/>
  <c r="D46" i="7"/>
  <c r="C46" i="7"/>
  <c r="F45" i="7"/>
  <c r="E45" i="7"/>
  <c r="D45" i="7"/>
  <c r="C45" i="7"/>
  <c r="B47" i="7"/>
  <c r="B46" i="7"/>
  <c r="B45" i="7"/>
  <c r="F41" i="7"/>
  <c r="E41" i="7"/>
  <c r="D41" i="7"/>
  <c r="C41" i="7"/>
  <c r="F40" i="7"/>
  <c r="E40" i="7"/>
  <c r="D40" i="7"/>
  <c r="C40" i="7"/>
  <c r="F39" i="7"/>
  <c r="E39" i="7"/>
  <c r="D39" i="7"/>
  <c r="C39" i="7"/>
  <c r="F38" i="7"/>
  <c r="E38" i="7"/>
  <c r="D38" i="7"/>
  <c r="C38" i="7"/>
  <c r="F37" i="7"/>
  <c r="E37" i="7"/>
  <c r="D37" i="7"/>
  <c r="C37" i="7"/>
  <c r="B41" i="7"/>
  <c r="B40" i="7"/>
  <c r="B38" i="7"/>
  <c r="B39" i="7"/>
  <c r="B37" i="7"/>
  <c r="F33" i="7"/>
  <c r="E33" i="7"/>
  <c r="D33" i="7"/>
  <c r="C33" i="7"/>
  <c r="F32" i="7"/>
  <c r="E32" i="7"/>
  <c r="D32" i="7"/>
  <c r="C32" i="7"/>
  <c r="F31" i="7"/>
  <c r="E31" i="7"/>
  <c r="D31" i="7"/>
  <c r="C31" i="7"/>
  <c r="F30" i="7"/>
  <c r="E30" i="7"/>
  <c r="D30" i="7"/>
  <c r="C30" i="7"/>
  <c r="F29" i="7"/>
  <c r="E29" i="7"/>
  <c r="D29" i="7"/>
  <c r="C29" i="7"/>
  <c r="B33" i="7"/>
  <c r="B32" i="7"/>
  <c r="B31" i="7"/>
  <c r="B30" i="7"/>
  <c r="B29" i="7"/>
  <c r="F26" i="7"/>
  <c r="E26" i="7"/>
  <c r="D26" i="7"/>
  <c r="C26" i="7"/>
  <c r="B26" i="7"/>
  <c r="F25" i="7"/>
  <c r="E25" i="7"/>
  <c r="D25" i="7"/>
  <c r="C25" i="7"/>
  <c r="B25" i="7"/>
  <c r="F24" i="7"/>
  <c r="E24" i="7"/>
  <c r="D24" i="7"/>
  <c r="C24" i="7"/>
  <c r="B24" i="7"/>
  <c r="F23" i="7"/>
  <c r="E23" i="7"/>
  <c r="D23" i="7"/>
  <c r="C23" i="7"/>
  <c r="B23" i="7"/>
  <c r="F22" i="7"/>
  <c r="E22" i="7"/>
  <c r="D22" i="7"/>
  <c r="C22" i="7"/>
  <c r="B22" i="7"/>
  <c r="F21" i="7"/>
  <c r="E21" i="7"/>
  <c r="D21" i="7"/>
  <c r="C21" i="7"/>
  <c r="B21" i="7"/>
  <c r="F13" i="7"/>
  <c r="E13" i="7"/>
  <c r="D13" i="7"/>
  <c r="C13" i="7"/>
  <c r="B13" i="7"/>
  <c r="F10" i="7"/>
  <c r="E10" i="7"/>
  <c r="D10" i="7"/>
  <c r="C10" i="7"/>
  <c r="B10" i="7"/>
  <c r="F11" i="7"/>
  <c r="E11" i="7"/>
  <c r="D11" i="7"/>
  <c r="C11" i="7"/>
  <c r="B11" i="7"/>
  <c r="F7" i="7"/>
  <c r="E7" i="7"/>
  <c r="D7" i="7"/>
  <c r="C7" i="7"/>
  <c r="B7" i="7"/>
  <c r="B8" i="7" s="1"/>
  <c r="F6" i="7"/>
  <c r="E6" i="7"/>
  <c r="D6" i="7"/>
  <c r="C6" i="7"/>
  <c r="B6" i="7"/>
  <c r="F3" i="7"/>
  <c r="E3" i="7"/>
  <c r="D3" i="7"/>
  <c r="C3" i="7"/>
  <c r="B3" i="7"/>
  <c r="F2" i="7"/>
  <c r="E2" i="7"/>
  <c r="D2" i="7"/>
  <c r="C2" i="7"/>
  <c r="B2" i="7"/>
  <c r="F55" i="7" l="1"/>
  <c r="B42" i="7"/>
  <c r="B48" i="7" s="1"/>
  <c r="E55" i="7"/>
  <c r="D4" i="7"/>
  <c r="E27" i="7"/>
  <c r="E34" i="7" s="1"/>
  <c r="F42" i="7"/>
  <c r="F48" i="7" s="1"/>
  <c r="F27" i="7"/>
  <c r="F34" i="7" s="1"/>
  <c r="C42" i="7"/>
  <c r="C48" i="7" s="1"/>
  <c r="D27" i="7"/>
  <c r="D34" i="7" s="1"/>
  <c r="B27" i="7"/>
  <c r="B34" i="7" s="1"/>
  <c r="C27" i="7"/>
  <c r="C34" i="7" s="1"/>
  <c r="D42" i="7"/>
  <c r="D48" i="7" s="1"/>
  <c r="E42" i="7"/>
  <c r="E48" i="7" s="1"/>
  <c r="C4" i="7"/>
  <c r="B4" i="7"/>
  <c r="B12" i="7" s="1"/>
  <c r="B14" i="7" s="1"/>
  <c r="E4" i="7"/>
  <c r="F8" i="7"/>
  <c r="C8" i="7"/>
  <c r="F4" i="7"/>
  <c r="D8" i="7"/>
  <c r="E8" i="7"/>
  <c r="D57" i="7" l="1"/>
  <c r="B57" i="7"/>
  <c r="D9" i="7"/>
  <c r="D12" i="7" s="1"/>
  <c r="D14" i="7" s="1"/>
  <c r="F57" i="7"/>
  <c r="E57" i="7"/>
  <c r="C57" i="7"/>
  <c r="C9" i="7"/>
  <c r="C12" i="7" s="1"/>
  <c r="C14" i="7" s="1"/>
  <c r="E9" i="7"/>
  <c r="E12" i="7" s="1"/>
  <c r="E14" i="7" s="1"/>
  <c r="F9" i="7"/>
  <c r="F12" i="7" s="1"/>
  <c r="F14" i="7" s="1"/>
</calcChain>
</file>

<file path=xl/sharedStrings.xml><?xml version="1.0" encoding="utf-8"?>
<sst xmlns="http://schemas.openxmlformats.org/spreadsheetml/2006/main" count="517" uniqueCount="226">
  <si>
    <t>Years Ended</t>
  </si>
  <si>
    <t>Net income (loss)</t>
  </si>
  <si>
    <t>Changes in other comprehensive income (loss), net of tax:</t>
  </si>
  <si>
    <t>Net unrealized holding gains (losses) on derivatives</t>
  </si>
  <si>
    <t>Actuarial valuation and other pension benefits (expenses), net</t>
  </si>
  <si>
    <t>Translation adjustments and other</t>
  </si>
  <si>
    <t>Other comprehensive income (loss)</t>
  </si>
  <si>
    <t>Total comprehensive income (loss)</t>
  </si>
  <si>
    <t>Less: comprehensive income (loss) attributable to non-controlling interests</t>
  </si>
  <si>
    <t>Total comprehensive income (loss) attributable to Intel</t>
  </si>
  <si>
    <t>Net revenue</t>
  </si>
  <si>
    <t>Cost of sales</t>
  </si>
  <si>
    <t>Gross profit</t>
  </si>
  <si>
    <t>Research and development</t>
  </si>
  <si>
    <t>Marketing, general and administrative</t>
  </si>
  <si>
    <t>Restructuring and other charges</t>
  </si>
  <si>
    <t>Operating expenses</t>
  </si>
  <si>
    <t>Operating income (loss)</t>
  </si>
  <si>
    <t>Gains (losses) on equity investments, net</t>
  </si>
  <si>
    <t>Interest and other, net</t>
  </si>
  <si>
    <t>Income (loss) before taxes</t>
  </si>
  <si>
    <t>Provision for (benefit from) taxes</t>
  </si>
  <si>
    <t>Less: net income (loss) attributable to non-controlling interests</t>
  </si>
  <si>
    <t>Net income (loss) attributable to Intel</t>
  </si>
  <si>
    <t>Earnings (loss) per share attributable to Intel — basic</t>
  </si>
  <si>
    <t>Earnings (loss) per share attributable to Intel — diluted</t>
  </si>
  <si>
    <t>Weighted average shares of common stock outstanding — Basic</t>
  </si>
  <si>
    <t>Weighted average shares of common stock outstanding — Diluted</t>
  </si>
  <si>
    <t>Dec 27, 2025</t>
  </si>
  <si>
    <t>Dec 28, 2024</t>
  </si>
  <si>
    <t>Dec 30, 2023</t>
  </si>
  <si>
    <t>Dec 31, 2022</t>
  </si>
  <si>
    <t>Assets</t>
  </si>
  <si>
    <t>Cash and cash equivalents</t>
  </si>
  <si>
    <t>Short-term investments</t>
  </si>
  <si>
    <t>Accounts receivable, net</t>
  </si>
  <si>
    <t>Inventories</t>
  </si>
  <si>
    <t>Other current assets</t>
  </si>
  <si>
    <t>Total current assets</t>
  </si>
  <si>
    <t>Property, plant and equipment, net</t>
  </si>
  <si>
    <t>Equity investments</t>
  </si>
  <si>
    <t>Goodwill</t>
  </si>
  <si>
    <t>Identified intangible assets, net</t>
  </si>
  <si>
    <t>Other long-term assets</t>
  </si>
  <si>
    <t>Total assets</t>
  </si>
  <si>
    <t>Liabilities and stockholders' equity</t>
  </si>
  <si>
    <t>Accounts payable</t>
  </si>
  <si>
    <t>Accrued compensation and benefits</t>
  </si>
  <si>
    <t>Short-term debt</t>
  </si>
  <si>
    <t>Income taxes payable</t>
  </si>
  <si>
    <t>Other accrued liabilities</t>
  </si>
  <si>
    <t>Total current liabilities</t>
  </si>
  <si>
    <t>Debt</t>
  </si>
  <si>
    <t>Other long-term liabilities</t>
  </si>
  <si>
    <t>Total liabilities</t>
  </si>
  <si>
    <t>Common stock and additional paid-in capital</t>
  </si>
  <si>
    <t>Accumulated other comprehensive income (loss)</t>
  </si>
  <si>
    <t>Retained earnings</t>
  </si>
  <si>
    <t>Total Intel stockholders' equity</t>
  </si>
  <si>
    <t>Non-controlling interests</t>
  </si>
  <si>
    <t>Total stockholders' equity</t>
  </si>
  <si>
    <t>Total liabilities and stockholders' equity</t>
  </si>
  <si>
    <t>Dec 25, 2021</t>
  </si>
  <si>
    <t>Assets held for sale</t>
  </si>
  <si>
    <t>—</t>
  </si>
  <si>
    <t>Long-term income taxes payable</t>
  </si>
  <si>
    <t>Deferred income tax</t>
  </si>
  <si>
    <t>Cash and cash equivalents, beginning of period</t>
  </si>
  <si>
    <t>Cash flows provided by (used for) operating activities:</t>
  </si>
  <si>
    <t>Depreciation</t>
  </si>
  <si>
    <t>Share-based compensation</t>
  </si>
  <si>
    <t>Amortization of intangibles</t>
  </si>
  <si>
    <t>(Gains) losses on equity investments, net</t>
  </si>
  <si>
    <t>(Gains) losses on divestitures</t>
  </si>
  <si>
    <t>Mark-to-market (gains) losses on Escrowed Shares</t>
  </si>
  <si>
    <t>Deferred taxes</t>
  </si>
  <si>
    <t>Impairments and net (gain) loss on retirement of property, plant and equipment</t>
  </si>
  <si>
    <t>Accounts receivable</t>
  </si>
  <si>
    <t>Income taxes</t>
  </si>
  <si>
    <t>Other assets and liabilities</t>
  </si>
  <si>
    <t>Total adjustments</t>
  </si>
  <si>
    <t>Net cash provided by operating activities</t>
  </si>
  <si>
    <t>Cash flows provided by (used for) investing activities:</t>
  </si>
  <si>
    <t>Additions to property, plant and equipment</t>
  </si>
  <si>
    <t>Proceeds from capital-related government incentives</t>
  </si>
  <si>
    <t>Purchases of short-term investments</t>
  </si>
  <si>
    <t>Maturities and sales of short-term investments</t>
  </si>
  <si>
    <t>Sales of equity investments</t>
  </si>
  <si>
    <t>Proceeds from divestitures, net</t>
  </si>
  <si>
    <t>Other investing</t>
  </si>
  <si>
    <t>Net cash used for investing activities</t>
  </si>
  <si>
    <t>Cash flows provided by (used for) financing activities:</t>
  </si>
  <si>
    <t>Issuance of commercial paper, net of issuance costs</t>
  </si>
  <si>
    <t>Repayment of commercial paper</t>
  </si>
  <si>
    <t>Partner contributions</t>
  </si>
  <si>
    <t>Net proceeds from sales of subsidiary shares</t>
  </si>
  <si>
    <t>Issuance of long-term debt, net of issuance costs</t>
  </si>
  <si>
    <t>Repayment of debt</t>
  </si>
  <si>
    <t>Proceeds from sales of common stock through employee equity incentive plans</t>
  </si>
  <si>
    <t>Net proceeds attributable to common stock and warrants issued, and Escrowed Shares</t>
  </si>
  <si>
    <t>Restricted stock unit withholdings</t>
  </si>
  <si>
    <t>Payment of dividends to stockholders</t>
  </si>
  <si>
    <t>Other financing</t>
  </si>
  <si>
    <t>Net cash provided by financing activities</t>
  </si>
  <si>
    <t>Net increase (decrease) in cash and cash equivalents</t>
  </si>
  <si>
    <t>Cash, cash equivalents, and restricted cash, end of period</t>
  </si>
  <si>
    <t>Income Statement</t>
  </si>
  <si>
    <t>Revenues</t>
  </si>
  <si>
    <t>Cost of Goods Sold (COGS)</t>
  </si>
  <si>
    <t>EBT</t>
  </si>
  <si>
    <t>Taxes</t>
  </si>
  <si>
    <t>Net Earnings</t>
  </si>
  <si>
    <t>Balance Sheet</t>
  </si>
  <si>
    <t>Inventory</t>
  </si>
  <si>
    <t>Total Assets</t>
  </si>
  <si>
    <t>Liabilities</t>
  </si>
  <si>
    <t>Operating Expenses</t>
  </si>
  <si>
    <t>Research &amp; Development</t>
  </si>
  <si>
    <t xml:space="preserve">SG&amp;A </t>
  </si>
  <si>
    <t>Total Operating Expenses</t>
  </si>
  <si>
    <t>EBIT (Operating Income)</t>
  </si>
  <si>
    <t>Interest &amp; Other (net)</t>
  </si>
  <si>
    <t>Gross Profit</t>
  </si>
  <si>
    <t>SG&amp;A</t>
  </si>
  <si>
    <t>Net income attributable to Intel</t>
  </si>
  <si>
    <t>Net Income</t>
  </si>
  <si>
    <t>Cash &amp; Cash Equivalents</t>
  </si>
  <si>
    <t>Accounts Payable</t>
  </si>
  <si>
    <t>Total Current Liabilities</t>
  </si>
  <si>
    <t>Equity</t>
  </si>
  <si>
    <t>Common Stock &amp; APIC</t>
  </si>
  <si>
    <t>Retained Earnings</t>
  </si>
  <si>
    <t>AOCI</t>
  </si>
  <si>
    <t>Non-Controlling Interest</t>
  </si>
  <si>
    <t>Total Equity</t>
  </si>
  <si>
    <t>Non - Cash Adjustments</t>
  </si>
  <si>
    <t>Depriciation &amp; Amortization</t>
  </si>
  <si>
    <t>Stock - Based Compensation</t>
  </si>
  <si>
    <t>Other Non - Cash Items</t>
  </si>
  <si>
    <t>Change in Working Capital</t>
  </si>
  <si>
    <t>Change in Accounts Receivable</t>
  </si>
  <si>
    <t>Change in Inventory</t>
  </si>
  <si>
    <t>Change in Accounts Payable</t>
  </si>
  <si>
    <t>Change in Other WC</t>
  </si>
  <si>
    <t>Cash Flow from Operations</t>
  </si>
  <si>
    <t>Capital Expenditures</t>
  </si>
  <si>
    <t>Other Investing Activities</t>
  </si>
  <si>
    <t>Cash Flow from Investing (CFI)</t>
  </si>
  <si>
    <t>Debt Issued / (Repaid)</t>
  </si>
  <si>
    <t>Dividends Paid</t>
  </si>
  <si>
    <t>Other Financing</t>
  </si>
  <si>
    <t>Cash Flow from Financing (CFF)</t>
  </si>
  <si>
    <t>Net Change in Cash</t>
  </si>
  <si>
    <t>Beginning Cash</t>
  </si>
  <si>
    <t>Ending Cash</t>
  </si>
  <si>
    <t>Statement</t>
  </si>
  <si>
    <t>Summarized Item</t>
  </si>
  <si>
    <t>Raw Statement</t>
  </si>
  <si>
    <t>Raw Line Item(s)</t>
  </si>
  <si>
    <t>Calculation Logic</t>
  </si>
  <si>
    <t>Raw P&amp;L</t>
  </si>
  <si>
    <t>Direct link</t>
  </si>
  <si>
    <t>COGS</t>
  </si>
  <si>
    <t>Summarized</t>
  </si>
  <si>
    <t>R&amp;D + SG&amp;A</t>
  </si>
  <si>
    <t>Sum of summarized lines</t>
  </si>
  <si>
    <t>Calculated subtotal</t>
  </si>
  <si>
    <t>Raw BS</t>
  </si>
  <si>
    <t>Accounts Receivable</t>
  </si>
  <si>
    <t>Other Current Assets</t>
  </si>
  <si>
    <t>PP&amp;E (Net)</t>
  </si>
  <si>
    <t>Short-Term Debt</t>
  </si>
  <si>
    <t>Long-Term Debt</t>
  </si>
  <si>
    <t>Cash Flow</t>
  </si>
  <si>
    <t>Cross-link</t>
  </si>
  <si>
    <t>Depreciation &amp; Amortization</t>
  </si>
  <si>
    <t>Depreciation + Amortization of intangibles</t>
  </si>
  <si>
    <t>Sum of non-cash charges</t>
  </si>
  <si>
    <t>Stock-Based Compensation</t>
  </si>
  <si>
    <t>Other Non-Cash Items</t>
  </si>
  <si>
    <t>CapEx + Other Investing</t>
  </si>
  <si>
    <t>Net debt movement</t>
  </si>
  <si>
    <t>Beginning Cash + Net Change</t>
  </si>
  <si>
    <t>Calculated check</t>
  </si>
  <si>
    <t>Deferred Income Taxes</t>
  </si>
  <si>
    <t>Other Long-Term Liabilities</t>
  </si>
  <si>
    <t>Short-Term Investments</t>
  </si>
  <si>
    <t>Assets Held for Sale</t>
  </si>
  <si>
    <t>Total Current Assets</t>
  </si>
  <si>
    <t>Equity Investments</t>
  </si>
  <si>
    <t>Identified Intangible Assets</t>
  </si>
  <si>
    <t>Other Long-Term Assets</t>
  </si>
  <si>
    <t>Accrued Compensation &amp; Benefits</t>
  </si>
  <si>
    <t>Income Taxes Payable</t>
  </si>
  <si>
    <t>Other Accrued Liabilities</t>
  </si>
  <si>
    <t>Long-Term Income Taxes Payable</t>
  </si>
  <si>
    <t>Total Liabilities</t>
  </si>
  <si>
    <t>Revenues - COGS</t>
  </si>
  <si>
    <t>Calculated</t>
  </si>
  <si>
    <t>Marketing, general &amp; administrative (+ Restructuring optional)</t>
  </si>
  <si>
    <t>Aggregated direct link</t>
  </si>
  <si>
    <t>EBIT + Gains + Interest</t>
  </si>
  <si>
    <t>Sum of current assets</t>
  </si>
  <si>
    <t>Sum of all assets</t>
  </si>
  <si>
    <t>Sum of current liabilities</t>
  </si>
  <si>
    <t>Sum of equity components</t>
  </si>
  <si>
    <t>Check</t>
  </si>
  <si>
    <t>Raw Cash Flow</t>
  </si>
  <si>
    <t>Negative BS delta</t>
  </si>
  <si>
    <t>Positive BS delta</t>
  </si>
  <si>
    <t>NI + Non-Cash + ΔWC</t>
  </si>
  <si>
    <t>Direct link (negative)</t>
  </si>
  <si>
    <t>Sum of investing items</t>
  </si>
  <si>
    <t>Equity issuance, buybacks, other financing</t>
  </si>
  <si>
    <t>Sum of financing items</t>
  </si>
  <si>
    <t>Debt + Dividends + Other Financing</t>
  </si>
  <si>
    <t>Sum of all liabilities</t>
  </si>
  <si>
    <t>Deferred taxes + Impairments + Gains/Losses + Other</t>
  </si>
  <si>
    <t>Sum of remaining non-cash items</t>
  </si>
  <si>
    <t>Accounts receivable (t − t‑1)</t>
  </si>
  <si>
    <t>Inventories (t − t‑1)</t>
  </si>
  <si>
    <t>Accounts payable (t − t‑1)</t>
  </si>
  <si>
    <t>Other current assets &amp; accrued items (t − t‑1)</t>
  </si>
  <si>
    <t>Residual WC delta</t>
  </si>
  <si>
    <t>All other investing cash flows</t>
  </si>
  <si>
    <t>Issuance of debt − Repayment of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</si>
</sst>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(#,##0\)_-;_-* &quot;-&quot;_-;_-@"/>
  </numFmts>
  <fonts count="4" x14ac:knownFonts="1"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3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2" fillId="0" borderId="0" xfId="0" applyFont="1"/>
    <xf numFmtId="0" fontId="3" fillId="5" borderId="0" xfId="0" applyFont="1" applyFill="1"/>
    <xf numFmtId="164" fontId="1" fillId="0" borderId="0" xfId="0" applyNumberFormat="1" applyFont="1"/>
    <xf numFmtId="3" fontId="2" fillId="2" borderId="0" xfId="0" applyNumberFormat="1" applyFont="1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CFE37-C763-467C-B88E-6EB0925DFCD7}">
  <dimension ref="A1:F20"/>
  <sheetViews>
    <sheetView workbookViewId="0">
      <selection activeCell="C13" sqref="C13:C14"/>
    </sheetView>
  </sheetViews>
  <sheetFormatPr defaultColWidth="23.1796875" defaultRowHeight="27.75" customHeight="1" x14ac:dyDescent="0.25"/>
  <cols>
    <col min="1" max="1" width="53.26953125" style="1" customWidth="1"/>
    <col min="2" max="16384" width="23.1796875" style="1"/>
  </cols>
  <sheetData>
    <row r="1" spans="1:6" ht="27.75" customHeight="1" thickBot="1" x14ac:dyDescent="0.4">
      <c r="A1" s="4" t="s">
        <v>0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</row>
    <row r="2" spans="1:6" ht="27.75" customHeight="1" thickBot="1" x14ac:dyDescent="0.4">
      <c r="A2" s="6" t="s">
        <v>10</v>
      </c>
      <c r="B2" s="7">
        <v>79024</v>
      </c>
      <c r="C2" s="7">
        <v>63054</v>
      </c>
      <c r="D2" s="7">
        <v>54228</v>
      </c>
      <c r="E2" s="7">
        <v>53101</v>
      </c>
      <c r="F2" s="7">
        <v>52853</v>
      </c>
    </row>
    <row r="3" spans="1:6" ht="23.25" customHeight="1" thickBot="1" x14ac:dyDescent="0.4">
      <c r="A3" s="6" t="s">
        <v>11</v>
      </c>
      <c r="B3" s="7">
        <v>35209</v>
      </c>
      <c r="C3" s="7">
        <v>36188</v>
      </c>
      <c r="D3" s="7">
        <v>32517</v>
      </c>
      <c r="E3" s="7">
        <v>35756</v>
      </c>
      <c r="F3" s="7">
        <v>34478</v>
      </c>
    </row>
    <row r="4" spans="1:6" ht="27.75" customHeight="1" thickBot="1" x14ac:dyDescent="0.4">
      <c r="A4" s="5" t="s">
        <v>12</v>
      </c>
      <c r="B4" s="8">
        <v>43815</v>
      </c>
      <c r="C4" s="8">
        <v>26866</v>
      </c>
      <c r="D4" s="8">
        <v>21711</v>
      </c>
      <c r="E4" s="8">
        <v>17345</v>
      </c>
      <c r="F4" s="8">
        <v>18375</v>
      </c>
    </row>
    <row r="5" spans="1:6" ht="27.75" customHeight="1" thickBot="1" x14ac:dyDescent="0.4">
      <c r="A5" s="6" t="s">
        <v>13</v>
      </c>
      <c r="B5" s="7">
        <v>15190</v>
      </c>
      <c r="C5" s="7">
        <v>17528</v>
      </c>
      <c r="D5" s="7">
        <v>16046</v>
      </c>
      <c r="E5" s="7">
        <v>16546</v>
      </c>
      <c r="F5" s="7">
        <v>13774</v>
      </c>
    </row>
    <row r="6" spans="1:6" ht="27.75" customHeight="1" thickBot="1" x14ac:dyDescent="0.4">
      <c r="A6" s="6" t="s">
        <v>14</v>
      </c>
      <c r="B6" s="7">
        <v>6543</v>
      </c>
      <c r="C6" s="7">
        <v>7002</v>
      </c>
      <c r="D6" s="7">
        <v>5634</v>
      </c>
      <c r="E6" s="7">
        <v>5507</v>
      </c>
      <c r="F6" s="7">
        <v>4624</v>
      </c>
    </row>
    <row r="7" spans="1:6" ht="27.75" customHeight="1" thickBot="1" x14ac:dyDescent="0.4">
      <c r="A7" s="6" t="s">
        <v>15</v>
      </c>
      <c r="B7" s="7">
        <v>2626</v>
      </c>
      <c r="C7" s="9">
        <v>2</v>
      </c>
      <c r="D7" s="9">
        <v>-62</v>
      </c>
      <c r="E7" s="7">
        <v>6970</v>
      </c>
      <c r="F7" s="7">
        <v>2191</v>
      </c>
    </row>
    <row r="8" spans="1:6" ht="27.75" customHeight="1" thickBot="1" x14ac:dyDescent="0.4">
      <c r="A8" s="5" t="s">
        <v>16</v>
      </c>
      <c r="B8" s="8">
        <v>24359</v>
      </c>
      <c r="C8" s="8">
        <v>24532</v>
      </c>
      <c r="D8" s="8">
        <v>21618</v>
      </c>
      <c r="E8" s="8">
        <v>29023</v>
      </c>
      <c r="F8" s="8">
        <v>20589</v>
      </c>
    </row>
    <row r="9" spans="1:6" ht="27.75" customHeight="1" thickBot="1" x14ac:dyDescent="0.4">
      <c r="A9" s="5" t="s">
        <v>17</v>
      </c>
      <c r="B9" s="8">
        <v>19456</v>
      </c>
      <c r="C9" s="8">
        <v>2334</v>
      </c>
      <c r="D9" s="10">
        <v>93</v>
      </c>
      <c r="E9" s="8">
        <v>-11678</v>
      </c>
      <c r="F9" s="8">
        <v>-2214</v>
      </c>
    </row>
    <row r="10" spans="1:6" ht="27.75" customHeight="1" thickBot="1" x14ac:dyDescent="0.4">
      <c r="A10" s="6" t="s">
        <v>18</v>
      </c>
      <c r="B10" s="7">
        <v>2729</v>
      </c>
      <c r="C10" s="7">
        <v>4268</v>
      </c>
      <c r="D10" s="9">
        <v>40</v>
      </c>
      <c r="E10" s="9">
        <v>242</v>
      </c>
      <c r="F10" s="9">
        <v>514</v>
      </c>
    </row>
    <row r="11" spans="1:6" ht="27.75" customHeight="1" thickBot="1" x14ac:dyDescent="0.4">
      <c r="A11" s="6" t="s">
        <v>19</v>
      </c>
      <c r="B11" s="9">
        <v>-482</v>
      </c>
      <c r="C11" s="7">
        <v>1166</v>
      </c>
      <c r="D11" s="9">
        <v>629</v>
      </c>
      <c r="E11" s="9">
        <v>226</v>
      </c>
      <c r="F11" s="7">
        <v>3257</v>
      </c>
    </row>
    <row r="12" spans="1:6" ht="27.75" customHeight="1" thickBot="1" x14ac:dyDescent="0.4">
      <c r="A12" s="5" t="s">
        <v>20</v>
      </c>
      <c r="B12" s="8">
        <v>21703</v>
      </c>
      <c r="C12" s="8">
        <v>7768</v>
      </c>
      <c r="D12" s="10">
        <v>762</v>
      </c>
      <c r="E12" s="8">
        <v>-11210</v>
      </c>
      <c r="F12" s="8">
        <v>1557</v>
      </c>
    </row>
    <row r="13" spans="1:6" ht="27.75" customHeight="1" thickBot="1" x14ac:dyDescent="0.4">
      <c r="A13" s="6" t="s">
        <v>21</v>
      </c>
      <c r="B13" s="7">
        <v>1835</v>
      </c>
      <c r="C13" s="9">
        <v>-249</v>
      </c>
      <c r="D13" s="9">
        <v>-913</v>
      </c>
      <c r="E13" s="7">
        <v>8023</v>
      </c>
      <c r="F13" s="7">
        <v>1531</v>
      </c>
    </row>
    <row r="14" spans="1:6" ht="27.75" customHeight="1" thickBot="1" x14ac:dyDescent="0.4">
      <c r="A14" s="5" t="s">
        <v>1</v>
      </c>
      <c r="B14" s="8">
        <v>19868</v>
      </c>
      <c r="C14" s="8">
        <v>8017</v>
      </c>
      <c r="D14" s="8">
        <v>1675</v>
      </c>
      <c r="E14" s="8">
        <v>-19233</v>
      </c>
      <c r="F14" s="10">
        <v>26</v>
      </c>
    </row>
    <row r="15" spans="1:6" ht="27.75" customHeight="1" thickBot="1" x14ac:dyDescent="0.4">
      <c r="A15" s="6" t="s">
        <v>22</v>
      </c>
      <c r="B15" s="9">
        <v>3</v>
      </c>
      <c r="C15" s="9">
        <v>3</v>
      </c>
      <c r="D15" s="9">
        <v>-14</v>
      </c>
      <c r="E15" s="9">
        <v>-477</v>
      </c>
      <c r="F15" s="9">
        <v>293</v>
      </c>
    </row>
    <row r="16" spans="1:6" ht="27.75" customHeight="1" thickBot="1" x14ac:dyDescent="0.4">
      <c r="A16" s="5" t="s">
        <v>23</v>
      </c>
      <c r="B16" s="8">
        <v>19868</v>
      </c>
      <c r="C16" s="8">
        <v>8014</v>
      </c>
      <c r="D16" s="8">
        <v>1689</v>
      </c>
      <c r="E16" s="8">
        <v>-18756</v>
      </c>
      <c r="F16" s="10">
        <v>-267</v>
      </c>
    </row>
    <row r="17" spans="1:6" ht="27.75" customHeight="1" thickBot="1" x14ac:dyDescent="0.4">
      <c r="A17" s="6" t="s">
        <v>24</v>
      </c>
      <c r="B17" s="9">
        <v>4.8899999999999997</v>
      </c>
      <c r="C17" s="9">
        <v>1.95</v>
      </c>
      <c r="D17" s="9">
        <v>0.4</v>
      </c>
      <c r="E17" s="9">
        <v>-4.38</v>
      </c>
      <c r="F17" s="9">
        <v>-0.06</v>
      </c>
    </row>
    <row r="18" spans="1:6" ht="27.75" customHeight="1" thickBot="1" x14ac:dyDescent="0.4">
      <c r="A18" s="6" t="s">
        <v>25</v>
      </c>
      <c r="B18" s="9">
        <v>4.8600000000000003</v>
      </c>
      <c r="C18" s="9">
        <v>1.94</v>
      </c>
      <c r="D18" s="9">
        <v>0.4</v>
      </c>
      <c r="E18" s="9">
        <v>-4.38</v>
      </c>
      <c r="F18" s="9">
        <v>-0.06</v>
      </c>
    </row>
    <row r="19" spans="1:6" ht="27.75" customHeight="1" thickBot="1" x14ac:dyDescent="0.4">
      <c r="A19" s="6" t="s">
        <v>26</v>
      </c>
      <c r="B19" s="7">
        <v>4059</v>
      </c>
      <c r="C19" s="7">
        <v>4108</v>
      </c>
      <c r="D19" s="7">
        <v>4190</v>
      </c>
      <c r="E19" s="7">
        <v>4280</v>
      </c>
      <c r="F19" s="7">
        <v>4530</v>
      </c>
    </row>
    <row r="20" spans="1:6" ht="27.75" customHeight="1" thickBot="1" x14ac:dyDescent="0.4">
      <c r="A20" s="6" t="s">
        <v>27</v>
      </c>
      <c r="B20" s="7">
        <v>4090</v>
      </c>
      <c r="C20" s="7">
        <v>4123</v>
      </c>
      <c r="D20" s="7">
        <v>4212</v>
      </c>
      <c r="E20" s="7">
        <v>4280</v>
      </c>
      <c r="F20" s="7">
        <v>4530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5E67-1BC2-4088-ABB5-686E107BD172}">
  <dimension ref="A1:F10"/>
  <sheetViews>
    <sheetView workbookViewId="0">
      <selection activeCell="C20" sqref="C20"/>
    </sheetView>
  </sheetViews>
  <sheetFormatPr defaultColWidth="9.1796875" defaultRowHeight="29.25" customHeight="1" x14ac:dyDescent="0.25"/>
  <cols>
    <col min="1" max="1" width="52.81640625" style="1" customWidth="1"/>
    <col min="2" max="16384" width="9.1796875" style="1"/>
  </cols>
  <sheetData>
    <row r="1" spans="1:6" ht="29.25" customHeight="1" thickBot="1" x14ac:dyDescent="0.4">
      <c r="A1" s="4" t="s">
        <v>0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</row>
    <row r="2" spans="1:6" ht="29.25" customHeight="1" thickBot="1" x14ac:dyDescent="0.4">
      <c r="A2" s="6" t="s">
        <v>1</v>
      </c>
      <c r="B2" s="7">
        <v>19868</v>
      </c>
      <c r="C2" s="7">
        <v>8017</v>
      </c>
      <c r="D2" s="7">
        <v>1675</v>
      </c>
      <c r="E2" s="7">
        <v>-19233</v>
      </c>
      <c r="F2" s="9">
        <v>26</v>
      </c>
    </row>
    <row r="3" spans="1:6" ht="29.25" customHeight="1" thickBot="1" x14ac:dyDescent="0.4">
      <c r="A3" s="5" t="s">
        <v>2</v>
      </c>
      <c r="B3" s="9"/>
      <c r="C3" s="9"/>
      <c r="D3" s="9"/>
      <c r="E3" s="9"/>
      <c r="F3" s="9"/>
    </row>
    <row r="4" spans="1:6" ht="29.25" customHeight="1" thickBot="1" x14ac:dyDescent="0.4">
      <c r="A4" s="6" t="s">
        <v>3</v>
      </c>
      <c r="B4" s="9">
        <v>-520</v>
      </c>
      <c r="C4" s="9">
        <v>-510</v>
      </c>
      <c r="D4" s="9">
        <v>272</v>
      </c>
      <c r="E4" s="9">
        <v>-555</v>
      </c>
      <c r="F4" s="9">
        <v>743</v>
      </c>
    </row>
    <row r="5" spans="1:6" ht="29.25" customHeight="1" thickBot="1" x14ac:dyDescent="0.4">
      <c r="A5" s="6" t="s">
        <v>4</v>
      </c>
      <c r="B5" s="9">
        <v>451</v>
      </c>
      <c r="C5" s="9">
        <v>855</v>
      </c>
      <c r="D5" s="9">
        <v>66</v>
      </c>
      <c r="E5" s="9">
        <v>60</v>
      </c>
      <c r="F5" s="9">
        <v>78</v>
      </c>
    </row>
    <row r="6" spans="1:6" ht="29.25" customHeight="1" thickBot="1" x14ac:dyDescent="0.4">
      <c r="A6" s="6" t="s">
        <v>5</v>
      </c>
      <c r="B6" s="9">
        <v>-60</v>
      </c>
      <c r="C6" s="9">
        <v>-27</v>
      </c>
      <c r="D6" s="9">
        <v>9</v>
      </c>
      <c r="E6" s="9">
        <v>-1</v>
      </c>
      <c r="F6" s="9">
        <v>3</v>
      </c>
    </row>
    <row r="7" spans="1:6" ht="29.25" customHeight="1" thickBot="1" x14ac:dyDescent="0.4">
      <c r="A7" s="5" t="s">
        <v>6</v>
      </c>
      <c r="B7" s="10">
        <v>-129</v>
      </c>
      <c r="C7" s="10">
        <v>318</v>
      </c>
      <c r="D7" s="10">
        <v>347</v>
      </c>
      <c r="E7" s="10">
        <v>-496</v>
      </c>
      <c r="F7" s="10">
        <v>824</v>
      </c>
    </row>
    <row r="8" spans="1:6" ht="29.25" customHeight="1" thickBot="1" x14ac:dyDescent="0.4">
      <c r="A8" s="5" t="s">
        <v>7</v>
      </c>
      <c r="B8" s="8">
        <v>19739</v>
      </c>
      <c r="C8" s="8">
        <v>8335</v>
      </c>
      <c r="D8" s="8">
        <v>2022</v>
      </c>
      <c r="E8" s="8">
        <v>-19729</v>
      </c>
      <c r="F8" s="10">
        <v>850</v>
      </c>
    </row>
    <row r="9" spans="1:6" ht="29.25" customHeight="1" thickBot="1" x14ac:dyDescent="0.4">
      <c r="A9" s="6" t="s">
        <v>8</v>
      </c>
      <c r="B9" s="9">
        <v>3</v>
      </c>
      <c r="C9" s="9">
        <v>3</v>
      </c>
      <c r="D9" s="9">
        <v>-14</v>
      </c>
      <c r="E9" s="9">
        <v>-477</v>
      </c>
      <c r="F9" s="9">
        <v>293</v>
      </c>
    </row>
    <row r="10" spans="1:6" ht="29.25" customHeight="1" thickBot="1" x14ac:dyDescent="0.4">
      <c r="A10" s="5" t="s">
        <v>9</v>
      </c>
      <c r="B10" s="8">
        <v>19739</v>
      </c>
      <c r="C10" s="8">
        <v>8332</v>
      </c>
      <c r="D10" s="8">
        <v>2036</v>
      </c>
      <c r="E10" s="8">
        <v>-19252</v>
      </c>
      <c r="F10" s="10">
        <v>557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8765-37EC-486B-8BF1-F78873F5701A}">
  <dimension ref="A1:F34"/>
  <sheetViews>
    <sheetView tabSelected="1" topLeftCell="A4" workbookViewId="0">
      <selection activeCell="B8" sqref="B8"/>
    </sheetView>
  </sheetViews>
  <sheetFormatPr defaultColWidth="25.26953125" defaultRowHeight="28.5" customHeight="1" x14ac:dyDescent="0.25"/>
  <cols>
    <col min="1" max="1" width="60.54296875" style="1" customWidth="1"/>
    <col min="2" max="2" width="18.54296875" style="1" customWidth="1"/>
    <col min="3" max="4" width="17.453125" style="1" customWidth="1"/>
    <col min="5" max="5" width="16.81640625" style="1" customWidth="1"/>
    <col min="6" max="6" width="18" style="1" customWidth="1"/>
    <col min="7" max="16384" width="25.26953125" style="1"/>
  </cols>
  <sheetData>
    <row r="1" spans="1:6" ht="28.5" customHeight="1" thickBot="1" x14ac:dyDescent="0.4">
      <c r="A1" s="4" t="s">
        <v>0</v>
      </c>
      <c r="B1" s="4" t="s">
        <v>62</v>
      </c>
      <c r="C1" s="4" t="s">
        <v>31</v>
      </c>
      <c r="D1" s="4" t="s">
        <v>30</v>
      </c>
      <c r="E1" s="4" t="s">
        <v>29</v>
      </c>
      <c r="F1" s="4" t="s">
        <v>28</v>
      </c>
    </row>
    <row r="2" spans="1:6" ht="23.25" customHeight="1" thickBot="1" x14ac:dyDescent="0.4">
      <c r="A2" s="5" t="s">
        <v>32</v>
      </c>
      <c r="B2" s="9"/>
      <c r="C2" s="9"/>
      <c r="D2" s="9"/>
      <c r="E2" s="9"/>
      <c r="F2" s="9"/>
    </row>
    <row r="3" spans="1:6" ht="28.5" customHeight="1" thickBot="1" x14ac:dyDescent="0.4">
      <c r="A3" s="6" t="s">
        <v>33</v>
      </c>
      <c r="B3" s="7">
        <v>4827</v>
      </c>
      <c r="C3" s="7">
        <v>11144</v>
      </c>
      <c r="D3" s="7">
        <v>7079</v>
      </c>
      <c r="E3" s="7">
        <v>8249</v>
      </c>
      <c r="F3" s="7">
        <v>14265</v>
      </c>
    </row>
    <row r="4" spans="1:6" ht="28.5" customHeight="1" thickBot="1" x14ac:dyDescent="0.4">
      <c r="A4" s="6" t="s">
        <v>34</v>
      </c>
      <c r="B4" s="7">
        <v>24426</v>
      </c>
      <c r="C4" s="7">
        <v>17194</v>
      </c>
      <c r="D4" s="7">
        <v>17955</v>
      </c>
      <c r="E4" s="7">
        <v>13813</v>
      </c>
      <c r="F4" s="7">
        <v>23151</v>
      </c>
    </row>
    <row r="5" spans="1:6" ht="28.5" customHeight="1" thickBot="1" x14ac:dyDescent="0.4">
      <c r="A5" s="6" t="s">
        <v>35</v>
      </c>
      <c r="B5" s="7">
        <v>9457</v>
      </c>
      <c r="C5" s="7">
        <v>4133</v>
      </c>
      <c r="D5" s="7">
        <v>3402</v>
      </c>
      <c r="E5" s="7">
        <v>3478</v>
      </c>
      <c r="F5" s="7">
        <v>3839</v>
      </c>
    </row>
    <row r="6" spans="1:6" ht="28.5" customHeight="1" thickBot="1" x14ac:dyDescent="0.4">
      <c r="A6" s="6" t="s">
        <v>36</v>
      </c>
      <c r="B6" s="7">
        <v>10776</v>
      </c>
      <c r="C6" s="7">
        <v>13224</v>
      </c>
      <c r="D6" s="7">
        <v>11127</v>
      </c>
      <c r="E6" s="7">
        <v>12198</v>
      </c>
      <c r="F6" s="7">
        <v>11618</v>
      </c>
    </row>
    <row r="7" spans="1:6" ht="28.5" customHeight="1" thickBot="1" x14ac:dyDescent="0.4">
      <c r="A7" s="6" t="s">
        <v>63</v>
      </c>
      <c r="B7" s="7">
        <v>6942</v>
      </c>
      <c r="C7" s="9">
        <v>0</v>
      </c>
      <c r="D7" s="9">
        <v>0</v>
      </c>
      <c r="E7" s="9">
        <v>0</v>
      </c>
      <c r="F7" s="9">
        <v>0</v>
      </c>
    </row>
    <row r="8" spans="1:6" ht="28.5" customHeight="1" thickBot="1" x14ac:dyDescent="0.4">
      <c r="A8" s="6" t="s">
        <v>37</v>
      </c>
      <c r="B8" s="7">
        <v>2130</v>
      </c>
      <c r="C8" s="7">
        <v>4712</v>
      </c>
      <c r="D8" s="7">
        <v>3706</v>
      </c>
      <c r="E8" s="7">
        <v>9586</v>
      </c>
      <c r="F8" s="7">
        <v>10815</v>
      </c>
    </row>
    <row r="9" spans="1:6" ht="28.5" customHeight="1" thickBot="1" x14ac:dyDescent="0.4">
      <c r="A9" s="5" t="s">
        <v>38</v>
      </c>
      <c r="B9" s="8">
        <v>58555</v>
      </c>
      <c r="C9" s="8">
        <v>50407</v>
      </c>
      <c r="D9" s="8">
        <v>43269</v>
      </c>
      <c r="E9" s="8">
        <v>47324</v>
      </c>
      <c r="F9" s="8">
        <v>63688</v>
      </c>
    </row>
    <row r="10" spans="1:6" ht="28.5" customHeight="1" thickBot="1" x14ac:dyDescent="0.4">
      <c r="A10" s="6" t="s">
        <v>39</v>
      </c>
      <c r="B10" s="7">
        <v>63245</v>
      </c>
      <c r="C10" s="7">
        <v>80860</v>
      </c>
      <c r="D10" s="7">
        <v>96647</v>
      </c>
      <c r="E10" s="7">
        <v>107919</v>
      </c>
      <c r="F10" s="7">
        <v>105414</v>
      </c>
    </row>
    <row r="11" spans="1:6" ht="28.5" customHeight="1" thickBot="1" x14ac:dyDescent="0.4">
      <c r="A11" s="6" t="s">
        <v>40</v>
      </c>
      <c r="B11" s="7">
        <v>6298</v>
      </c>
      <c r="C11" s="7">
        <v>5912</v>
      </c>
      <c r="D11" s="7">
        <v>5829</v>
      </c>
      <c r="E11" s="7">
        <v>5383</v>
      </c>
      <c r="F11" s="7">
        <v>8512</v>
      </c>
    </row>
    <row r="12" spans="1:6" ht="28.5" customHeight="1" thickBot="1" x14ac:dyDescent="0.4">
      <c r="A12" s="6" t="s">
        <v>41</v>
      </c>
      <c r="B12" s="7">
        <v>26963</v>
      </c>
      <c r="C12" s="7">
        <v>27591</v>
      </c>
      <c r="D12" s="7">
        <v>27591</v>
      </c>
      <c r="E12" s="7">
        <v>24693</v>
      </c>
      <c r="F12" s="7">
        <v>23912</v>
      </c>
    </row>
    <row r="13" spans="1:6" ht="28.5" customHeight="1" thickBot="1" x14ac:dyDescent="0.4">
      <c r="A13" s="6" t="s">
        <v>42</v>
      </c>
      <c r="B13" s="7">
        <v>7270</v>
      </c>
      <c r="C13" s="7">
        <v>6018</v>
      </c>
      <c r="D13" s="7">
        <v>4589</v>
      </c>
      <c r="E13" s="7">
        <v>3691</v>
      </c>
      <c r="F13" s="7">
        <v>2772</v>
      </c>
    </row>
    <row r="14" spans="1:6" ht="28.5" customHeight="1" thickBot="1" x14ac:dyDescent="0.4">
      <c r="A14" s="6" t="s">
        <v>43</v>
      </c>
      <c r="B14" s="7">
        <v>6072</v>
      </c>
      <c r="C14" s="7">
        <v>11315</v>
      </c>
      <c r="D14" s="7">
        <v>13647</v>
      </c>
      <c r="E14" s="7">
        <v>7475</v>
      </c>
      <c r="F14" s="7">
        <v>7131</v>
      </c>
    </row>
    <row r="15" spans="1:6" ht="28.5" customHeight="1" thickBot="1" x14ac:dyDescent="0.4">
      <c r="A15" s="5" t="s">
        <v>44</v>
      </c>
      <c r="B15" s="8">
        <v>168406</v>
      </c>
      <c r="C15" s="8">
        <v>182103</v>
      </c>
      <c r="D15" s="8">
        <v>191572</v>
      </c>
      <c r="E15" s="8">
        <v>196485</v>
      </c>
      <c r="F15" s="8">
        <v>211429</v>
      </c>
    </row>
    <row r="16" spans="1:6" ht="28.5" customHeight="1" thickBot="1" x14ac:dyDescent="0.4">
      <c r="A16" s="5" t="s">
        <v>45</v>
      </c>
      <c r="B16" s="9"/>
      <c r="C16" s="9"/>
      <c r="D16" s="9"/>
      <c r="E16" s="9"/>
      <c r="F16" s="9"/>
    </row>
    <row r="17" spans="1:6" ht="28.5" customHeight="1" thickBot="1" x14ac:dyDescent="0.4">
      <c r="A17" s="6" t="s">
        <v>48</v>
      </c>
      <c r="B17" s="7">
        <v>4591</v>
      </c>
      <c r="C17" s="7">
        <v>4367</v>
      </c>
      <c r="D17" s="7">
        <v>2288</v>
      </c>
      <c r="E17" s="7">
        <v>3729</v>
      </c>
      <c r="F17" s="7">
        <v>2499</v>
      </c>
    </row>
    <row r="18" spans="1:6" ht="28.5" customHeight="1" thickBot="1" x14ac:dyDescent="0.4">
      <c r="A18" s="6" t="s">
        <v>46</v>
      </c>
      <c r="B18" s="7">
        <v>5747</v>
      </c>
      <c r="C18" s="7">
        <v>9595</v>
      </c>
      <c r="D18" s="7">
        <v>8578</v>
      </c>
      <c r="E18" s="7">
        <v>12556</v>
      </c>
      <c r="F18" s="7">
        <v>9882</v>
      </c>
    </row>
    <row r="19" spans="1:6" ht="28.5" customHeight="1" thickBot="1" x14ac:dyDescent="0.4">
      <c r="A19" s="6" t="s">
        <v>47</v>
      </c>
      <c r="B19" s="7">
        <v>4535</v>
      </c>
      <c r="C19" s="7">
        <v>4084</v>
      </c>
      <c r="D19" s="7">
        <v>3655</v>
      </c>
      <c r="E19" s="7">
        <v>3343</v>
      </c>
      <c r="F19" s="7">
        <v>3990</v>
      </c>
    </row>
    <row r="20" spans="1:6" ht="28.5" customHeight="1" thickBot="1" x14ac:dyDescent="0.4">
      <c r="A20" s="6" t="s">
        <v>49</v>
      </c>
      <c r="B20" s="7">
        <v>1076</v>
      </c>
      <c r="C20" s="7">
        <v>2251</v>
      </c>
      <c r="D20" s="7">
        <v>1107</v>
      </c>
      <c r="E20" s="7">
        <v>1756</v>
      </c>
      <c r="F20" s="9">
        <v>604</v>
      </c>
    </row>
    <row r="21" spans="1:6" ht="28.5" customHeight="1" thickBot="1" x14ac:dyDescent="0.4">
      <c r="A21" s="6" t="s">
        <v>50</v>
      </c>
      <c r="B21" s="7">
        <v>11513</v>
      </c>
      <c r="C21" s="7">
        <v>11858</v>
      </c>
      <c r="D21" s="7">
        <v>12425</v>
      </c>
      <c r="E21" s="7">
        <v>14282</v>
      </c>
      <c r="F21" s="7">
        <v>14600</v>
      </c>
    </row>
    <row r="22" spans="1:6" ht="28.5" customHeight="1" thickBot="1" x14ac:dyDescent="0.4">
      <c r="A22" s="5" t="s">
        <v>51</v>
      </c>
      <c r="B22" s="8">
        <v>27462</v>
      </c>
      <c r="C22" s="8">
        <v>32155</v>
      </c>
      <c r="D22" s="8">
        <v>28053</v>
      </c>
      <c r="E22" s="8">
        <v>35666</v>
      </c>
      <c r="F22" s="8">
        <v>31575</v>
      </c>
    </row>
    <row r="23" spans="1:6" ht="28.5" customHeight="1" thickBot="1" x14ac:dyDescent="0.4">
      <c r="A23" s="6" t="s">
        <v>52</v>
      </c>
      <c r="B23" s="7">
        <v>33510</v>
      </c>
      <c r="C23" s="7">
        <v>37684</v>
      </c>
      <c r="D23" s="7">
        <v>46978</v>
      </c>
      <c r="E23" s="7">
        <v>46282</v>
      </c>
      <c r="F23" s="7">
        <v>44086</v>
      </c>
    </row>
    <row r="24" spans="1:6" ht="28.5" customHeight="1" thickBot="1" x14ac:dyDescent="0.4">
      <c r="A24" s="6" t="s">
        <v>65</v>
      </c>
      <c r="B24" s="7">
        <v>4305</v>
      </c>
      <c r="C24" s="7">
        <v>3796</v>
      </c>
      <c r="D24" s="9">
        <v>0</v>
      </c>
      <c r="E24" s="9">
        <v>0</v>
      </c>
      <c r="F24" s="9">
        <v>0</v>
      </c>
    </row>
    <row r="25" spans="1:6" ht="28.5" customHeight="1" thickBot="1" x14ac:dyDescent="0.4">
      <c r="A25" s="6" t="s">
        <v>66</v>
      </c>
      <c r="B25" s="7">
        <v>2667</v>
      </c>
      <c r="C25" s="9">
        <v>202</v>
      </c>
      <c r="D25" s="9">
        <v>0</v>
      </c>
      <c r="E25" s="9">
        <v>0</v>
      </c>
      <c r="F25" s="9">
        <v>0</v>
      </c>
    </row>
    <row r="26" spans="1:6" ht="28.5" customHeight="1" thickBot="1" x14ac:dyDescent="0.4">
      <c r="A26" s="6" t="s">
        <v>53</v>
      </c>
      <c r="B26" s="7">
        <v>5071</v>
      </c>
      <c r="C26" s="7">
        <v>4980</v>
      </c>
      <c r="D26" s="7">
        <v>6576</v>
      </c>
      <c r="E26" s="7">
        <v>9505</v>
      </c>
      <c r="F26" s="7">
        <v>9408</v>
      </c>
    </row>
    <row r="27" spans="1:6" ht="28.5" customHeight="1" thickBot="1" x14ac:dyDescent="0.4">
      <c r="A27" s="5" t="s">
        <v>54</v>
      </c>
      <c r="B27" s="8">
        <v>72015</v>
      </c>
      <c r="C27" s="8">
        <v>78817</v>
      </c>
      <c r="D27" s="8">
        <v>81607</v>
      </c>
      <c r="E27" s="8">
        <v>91453</v>
      </c>
      <c r="F27" s="8">
        <v>85069</v>
      </c>
    </row>
    <row r="28" spans="1:6" ht="28.5" customHeight="1" thickBot="1" x14ac:dyDescent="0.4">
      <c r="A28" s="6" t="s">
        <v>55</v>
      </c>
      <c r="B28" s="7">
        <v>28006</v>
      </c>
      <c r="C28" s="7">
        <v>31580</v>
      </c>
      <c r="D28" s="7">
        <v>36649</v>
      </c>
      <c r="E28" s="7">
        <v>50949</v>
      </c>
      <c r="F28" s="7">
        <v>65185</v>
      </c>
    </row>
    <row r="29" spans="1:6" ht="28.5" customHeight="1" thickBot="1" x14ac:dyDescent="0.4">
      <c r="A29" s="6" t="s">
        <v>56</v>
      </c>
      <c r="B29" s="9">
        <v>-880</v>
      </c>
      <c r="C29" s="9">
        <v>-562</v>
      </c>
      <c r="D29" s="9">
        <v>-215</v>
      </c>
      <c r="E29" s="9">
        <v>-711</v>
      </c>
      <c r="F29" s="9">
        <v>113</v>
      </c>
    </row>
    <row r="30" spans="1:6" ht="28.5" customHeight="1" thickBot="1" x14ac:dyDescent="0.4">
      <c r="A30" s="6" t="s">
        <v>57</v>
      </c>
      <c r="B30" s="7">
        <v>68265</v>
      </c>
      <c r="C30" s="7">
        <v>70405</v>
      </c>
      <c r="D30" s="7">
        <v>69156</v>
      </c>
      <c r="E30" s="7">
        <v>49032</v>
      </c>
      <c r="F30" s="7">
        <v>48983</v>
      </c>
    </row>
    <row r="31" spans="1:6" ht="28.5" customHeight="1" thickBot="1" x14ac:dyDescent="0.4">
      <c r="A31" s="5" t="s">
        <v>58</v>
      </c>
      <c r="B31" s="8">
        <v>95391</v>
      </c>
      <c r="C31" s="8">
        <v>101423</v>
      </c>
      <c r="D31" s="8">
        <v>105590</v>
      </c>
      <c r="E31" s="8">
        <v>99270</v>
      </c>
      <c r="F31" s="8">
        <v>114281</v>
      </c>
    </row>
    <row r="32" spans="1:6" ht="28.5" customHeight="1" thickBot="1" x14ac:dyDescent="0.4">
      <c r="A32" s="6" t="s">
        <v>59</v>
      </c>
      <c r="B32" s="9">
        <v>0</v>
      </c>
      <c r="C32" s="7">
        <v>1863</v>
      </c>
      <c r="D32" s="7">
        <v>4375</v>
      </c>
      <c r="E32" s="7">
        <v>5762</v>
      </c>
      <c r="F32" s="7">
        <v>12079</v>
      </c>
    </row>
    <row r="33" spans="1:6" ht="28.5" customHeight="1" thickBot="1" x14ac:dyDescent="0.4">
      <c r="A33" s="5" t="s">
        <v>60</v>
      </c>
      <c r="B33" s="8">
        <v>95391</v>
      </c>
      <c r="C33" s="8">
        <v>103286</v>
      </c>
      <c r="D33" s="8">
        <v>109965</v>
      </c>
      <c r="E33" s="8">
        <v>105032</v>
      </c>
      <c r="F33" s="8">
        <v>126360</v>
      </c>
    </row>
    <row r="34" spans="1:6" ht="28.5" customHeight="1" thickBot="1" x14ac:dyDescent="0.4">
      <c r="A34" s="5" t="s">
        <v>61</v>
      </c>
      <c r="B34" s="8">
        <v>168406</v>
      </c>
      <c r="C34" s="8">
        <v>182103</v>
      </c>
      <c r="D34" s="8">
        <v>191572</v>
      </c>
      <c r="E34" s="8">
        <v>196485</v>
      </c>
      <c r="F34" s="8">
        <v>211429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AA3F-8861-452E-8104-F4F04AC7D983}">
  <dimension ref="A1:F46"/>
  <sheetViews>
    <sheetView workbookViewId="0">
      <selection activeCell="B26" sqref="B26"/>
    </sheetView>
  </sheetViews>
  <sheetFormatPr defaultColWidth="46.7265625" defaultRowHeight="27" customHeight="1" x14ac:dyDescent="0.25"/>
  <cols>
    <col min="1" max="1" width="56.453125" style="1" customWidth="1"/>
    <col min="2" max="2" width="22.26953125" style="1" customWidth="1"/>
    <col min="3" max="3" width="23.453125" style="1" customWidth="1"/>
    <col min="4" max="4" width="24.453125" style="1" customWidth="1"/>
    <col min="5" max="5" width="27" style="1" customWidth="1"/>
    <col min="6" max="6" width="25.453125" style="1" customWidth="1"/>
    <col min="7" max="16384" width="46.7265625" style="1"/>
  </cols>
  <sheetData>
    <row r="1" spans="1:6" ht="27" customHeight="1" thickBot="1" x14ac:dyDescent="0.4">
      <c r="A1" s="4" t="s">
        <v>0</v>
      </c>
      <c r="B1" s="4" t="s">
        <v>62</v>
      </c>
      <c r="C1" s="4" t="s">
        <v>31</v>
      </c>
      <c r="D1" s="4" t="s">
        <v>30</v>
      </c>
      <c r="E1" s="4" t="s">
        <v>29</v>
      </c>
      <c r="F1" s="4" t="s">
        <v>28</v>
      </c>
    </row>
    <row r="2" spans="1:6" ht="27.75" customHeight="1" thickBot="1" x14ac:dyDescent="0.4">
      <c r="A2" s="5" t="s">
        <v>67</v>
      </c>
      <c r="B2" s="7">
        <v>5865</v>
      </c>
      <c r="C2" s="7">
        <v>4827</v>
      </c>
      <c r="D2" s="7">
        <v>11144</v>
      </c>
      <c r="E2" s="7">
        <v>7079</v>
      </c>
      <c r="F2" s="7">
        <v>8249</v>
      </c>
    </row>
    <row r="3" spans="1:6" ht="27" customHeight="1" thickBot="1" x14ac:dyDescent="0.4">
      <c r="A3" s="5" t="s">
        <v>68</v>
      </c>
      <c r="B3" s="9"/>
      <c r="C3" s="9"/>
      <c r="D3" s="9"/>
      <c r="E3" s="9"/>
      <c r="F3" s="9"/>
    </row>
    <row r="4" spans="1:6" ht="27" customHeight="1" thickBot="1" x14ac:dyDescent="0.4">
      <c r="A4" s="6" t="s">
        <v>1</v>
      </c>
      <c r="B4" s="7">
        <v>19868</v>
      </c>
      <c r="C4" s="7">
        <v>8017</v>
      </c>
      <c r="D4" s="7">
        <v>1675</v>
      </c>
      <c r="E4" s="7">
        <v>-19233</v>
      </c>
      <c r="F4" s="9">
        <v>26</v>
      </c>
    </row>
    <row r="5" spans="1:6" ht="27" customHeight="1" thickBot="1" x14ac:dyDescent="0.4">
      <c r="A5" s="6" t="s">
        <v>69</v>
      </c>
      <c r="B5" s="7">
        <v>9953</v>
      </c>
      <c r="C5" s="7">
        <v>11128</v>
      </c>
      <c r="D5" s="7">
        <v>7847</v>
      </c>
      <c r="E5" s="7">
        <v>9951</v>
      </c>
      <c r="F5" s="7">
        <v>10757</v>
      </c>
    </row>
    <row r="6" spans="1:6" ht="27" customHeight="1" thickBot="1" x14ac:dyDescent="0.4">
      <c r="A6" s="6" t="s">
        <v>70</v>
      </c>
      <c r="B6" s="7">
        <v>2036</v>
      </c>
      <c r="C6" s="7">
        <v>3128</v>
      </c>
      <c r="D6" s="7">
        <v>3229</v>
      </c>
      <c r="E6" s="7">
        <v>3410</v>
      </c>
      <c r="F6" s="7">
        <v>4234</v>
      </c>
    </row>
    <row r="7" spans="1:6" ht="27" customHeight="1" thickBot="1" x14ac:dyDescent="0.4">
      <c r="A7" s="6" t="s">
        <v>15</v>
      </c>
      <c r="B7" s="7">
        <v>2626</v>
      </c>
      <c r="C7" s="7">
        <v>1074</v>
      </c>
      <c r="D7" s="9">
        <v>-424</v>
      </c>
      <c r="E7" s="7">
        <v>3491</v>
      </c>
      <c r="F7" s="9">
        <v>476</v>
      </c>
    </row>
    <row r="8" spans="1:6" ht="27" customHeight="1" thickBot="1" x14ac:dyDescent="0.4">
      <c r="A8" s="6" t="s">
        <v>71</v>
      </c>
      <c r="B8" s="7">
        <v>1839</v>
      </c>
      <c r="C8" s="7">
        <v>1907</v>
      </c>
      <c r="D8" s="7">
        <v>1755</v>
      </c>
      <c r="E8" s="7">
        <v>1428</v>
      </c>
      <c r="F8" s="9">
        <v>949</v>
      </c>
    </row>
    <row r="9" spans="1:6" ht="27" customHeight="1" thickBot="1" x14ac:dyDescent="0.4">
      <c r="A9" s="6" t="s">
        <v>72</v>
      </c>
      <c r="B9" s="7">
        <v>-1458</v>
      </c>
      <c r="C9" s="7">
        <v>-4254</v>
      </c>
      <c r="D9" s="9">
        <v>-42</v>
      </c>
      <c r="E9" s="9">
        <v>-246</v>
      </c>
      <c r="F9" s="9">
        <v>-514</v>
      </c>
    </row>
    <row r="10" spans="1:6" ht="27" customHeight="1" thickBot="1" x14ac:dyDescent="0.4">
      <c r="A10" s="6" t="s">
        <v>73</v>
      </c>
      <c r="B10" s="9">
        <v>0</v>
      </c>
      <c r="C10" s="7">
        <v>-1059</v>
      </c>
      <c r="D10" s="9">
        <v>0</v>
      </c>
      <c r="E10" s="9">
        <v>0</v>
      </c>
      <c r="F10" s="7">
        <v>-5323</v>
      </c>
    </row>
    <row r="11" spans="1:6" ht="27" customHeight="1" thickBot="1" x14ac:dyDescent="0.4">
      <c r="A11" s="6" t="s">
        <v>74</v>
      </c>
      <c r="B11" s="9">
        <v>0</v>
      </c>
      <c r="C11" s="9">
        <v>0</v>
      </c>
      <c r="D11" s="9">
        <v>0</v>
      </c>
      <c r="E11" s="9">
        <v>0</v>
      </c>
      <c r="F11" s="7">
        <v>1796</v>
      </c>
    </row>
    <row r="12" spans="1:6" ht="27" customHeight="1" thickBot="1" x14ac:dyDescent="0.4">
      <c r="A12" s="6" t="s">
        <v>75</v>
      </c>
      <c r="B12" s="9">
        <v>0</v>
      </c>
      <c r="C12" s="9">
        <v>0</v>
      </c>
      <c r="D12" s="7">
        <v>-2033</v>
      </c>
      <c r="E12" s="7">
        <v>6132</v>
      </c>
      <c r="F12" s="9">
        <v>328</v>
      </c>
    </row>
    <row r="13" spans="1:6" ht="27" customHeight="1" thickBot="1" x14ac:dyDescent="0.4">
      <c r="A13" s="6" t="s">
        <v>76</v>
      </c>
      <c r="B13" s="9">
        <v>0</v>
      </c>
      <c r="C13" s="9">
        <v>0</v>
      </c>
      <c r="D13" s="9">
        <v>33</v>
      </c>
      <c r="E13" s="7">
        <v>2252</v>
      </c>
      <c r="F13" s="9">
        <v>515</v>
      </c>
    </row>
    <row r="14" spans="1:6" ht="27" customHeight="1" thickBot="1" x14ac:dyDescent="0.4">
      <c r="A14" s="6" t="s">
        <v>77</v>
      </c>
      <c r="B14" s="7">
        <v>-2674</v>
      </c>
      <c r="C14" s="7">
        <v>5327</v>
      </c>
      <c r="D14" s="9">
        <v>731</v>
      </c>
      <c r="E14" s="9">
        <v>-75</v>
      </c>
      <c r="F14" s="9">
        <v>-449</v>
      </c>
    </row>
    <row r="15" spans="1:6" ht="27" customHeight="1" thickBot="1" x14ac:dyDescent="0.4">
      <c r="A15" s="6" t="s">
        <v>36</v>
      </c>
      <c r="B15" s="7">
        <v>-2339</v>
      </c>
      <c r="C15" s="7">
        <v>-2436</v>
      </c>
      <c r="D15" s="7">
        <v>2097</v>
      </c>
      <c r="E15" s="7">
        <v>-1105</v>
      </c>
      <c r="F15" s="9">
        <v>-138</v>
      </c>
    </row>
    <row r="16" spans="1:6" ht="27" customHeight="1" thickBot="1" x14ac:dyDescent="0.4">
      <c r="A16" s="6" t="s">
        <v>46</v>
      </c>
      <c r="B16" s="7">
        <v>1190</v>
      </c>
      <c r="C16" s="9">
        <v>-29</v>
      </c>
      <c r="D16" s="9">
        <v>-801</v>
      </c>
      <c r="E16" s="9">
        <v>634</v>
      </c>
      <c r="F16" s="9">
        <v>297</v>
      </c>
    </row>
    <row r="17" spans="1:6" ht="27" customHeight="1" thickBot="1" x14ac:dyDescent="0.4">
      <c r="A17" s="6" t="s">
        <v>47</v>
      </c>
      <c r="B17" s="9">
        <v>515</v>
      </c>
      <c r="C17" s="7">
        <v>-1533</v>
      </c>
      <c r="D17" s="9">
        <v>-614</v>
      </c>
      <c r="E17" s="9">
        <v>-218</v>
      </c>
      <c r="F17" s="9">
        <v>788</v>
      </c>
    </row>
    <row r="18" spans="1:6" ht="27" customHeight="1" thickBot="1" x14ac:dyDescent="0.4">
      <c r="A18" s="6" t="s">
        <v>78</v>
      </c>
      <c r="B18" s="9">
        <v>-441</v>
      </c>
      <c r="C18" s="7">
        <v>-4535</v>
      </c>
      <c r="D18" s="7">
        <v>-1498</v>
      </c>
      <c r="E18" s="9">
        <v>-356</v>
      </c>
      <c r="F18" s="9">
        <v>-995</v>
      </c>
    </row>
    <row r="19" spans="1:6" ht="27" customHeight="1" thickBot="1" x14ac:dyDescent="0.4">
      <c r="A19" s="6" t="s">
        <v>79</v>
      </c>
      <c r="B19" s="9">
        <v>-76</v>
      </c>
      <c r="C19" s="7">
        <v>-1278</v>
      </c>
      <c r="D19" s="9">
        <v>-484</v>
      </c>
      <c r="E19" s="7">
        <v>2223</v>
      </c>
      <c r="F19" s="7">
        <v>-1250</v>
      </c>
    </row>
    <row r="20" spans="1:6" ht="27" customHeight="1" thickBot="1" x14ac:dyDescent="0.4">
      <c r="A20" s="5" t="s">
        <v>80</v>
      </c>
      <c r="B20" s="7">
        <v>9588</v>
      </c>
      <c r="C20" s="7">
        <v>7416</v>
      </c>
      <c r="D20" s="7">
        <v>9796</v>
      </c>
      <c r="E20" s="7">
        <v>27521</v>
      </c>
      <c r="F20" s="7">
        <v>9671</v>
      </c>
    </row>
    <row r="21" spans="1:6" ht="27" customHeight="1" thickBot="1" x14ac:dyDescent="0.4">
      <c r="A21" s="5" t="s">
        <v>81</v>
      </c>
      <c r="B21" s="8">
        <v>29456</v>
      </c>
      <c r="C21" s="8">
        <v>15433</v>
      </c>
      <c r="D21" s="8">
        <v>11471</v>
      </c>
      <c r="E21" s="8">
        <v>8288</v>
      </c>
      <c r="F21" s="8">
        <v>9697</v>
      </c>
    </row>
    <row r="22" spans="1:6" ht="27" customHeight="1" thickBot="1" x14ac:dyDescent="0.4">
      <c r="A22" s="5" t="s">
        <v>82</v>
      </c>
      <c r="B22" s="9"/>
      <c r="C22" s="9"/>
      <c r="D22" s="9"/>
      <c r="E22" s="9"/>
      <c r="F22" s="9"/>
    </row>
    <row r="23" spans="1:6" ht="27" customHeight="1" thickBot="1" x14ac:dyDescent="0.4">
      <c r="A23" s="6" t="s">
        <v>83</v>
      </c>
      <c r="B23" s="7">
        <v>-18733</v>
      </c>
      <c r="C23" s="7">
        <v>-24844</v>
      </c>
      <c r="D23" s="7">
        <v>-25750</v>
      </c>
      <c r="E23" s="7">
        <v>-23944</v>
      </c>
      <c r="F23" s="7">
        <v>-14646</v>
      </c>
    </row>
    <row r="24" spans="1:6" ht="27" customHeight="1" thickBot="1" x14ac:dyDescent="0.4">
      <c r="A24" s="6" t="s">
        <v>84</v>
      </c>
      <c r="B24" s="7">
        <v>-1596</v>
      </c>
      <c r="C24" s="9">
        <v>-206</v>
      </c>
      <c r="D24" s="7">
        <v>1011</v>
      </c>
      <c r="E24" s="7">
        <v>1936</v>
      </c>
      <c r="F24" s="7">
        <v>1577</v>
      </c>
    </row>
    <row r="25" spans="1:6" ht="27" customHeight="1" thickBot="1" x14ac:dyDescent="0.4">
      <c r="A25" s="6" t="s">
        <v>85</v>
      </c>
      <c r="B25" s="7">
        <v>-40554</v>
      </c>
      <c r="C25" s="7">
        <v>-43647</v>
      </c>
      <c r="D25" s="7">
        <v>-44414</v>
      </c>
      <c r="E25" s="7">
        <v>-37940</v>
      </c>
      <c r="F25" s="7">
        <v>-24319</v>
      </c>
    </row>
    <row r="26" spans="1:6" ht="27" customHeight="1" thickBot="1" x14ac:dyDescent="0.4">
      <c r="A26" s="6" t="s">
        <v>86</v>
      </c>
      <c r="B26" s="7">
        <v>35299</v>
      </c>
      <c r="C26" s="7">
        <v>48730</v>
      </c>
      <c r="D26" s="7">
        <v>44077</v>
      </c>
      <c r="E26" s="7">
        <v>41463</v>
      </c>
      <c r="F26" s="7">
        <v>15387</v>
      </c>
    </row>
    <row r="27" spans="1:6" ht="27" customHeight="1" thickBot="1" x14ac:dyDescent="0.4">
      <c r="A27" s="6" t="s">
        <v>87</v>
      </c>
      <c r="B27" s="9">
        <v>-613</v>
      </c>
      <c r="C27" s="9">
        <v>-510</v>
      </c>
      <c r="D27" s="9">
        <v>0</v>
      </c>
      <c r="E27" s="7">
        <v>1047</v>
      </c>
      <c r="F27" s="9">
        <v>671</v>
      </c>
    </row>
    <row r="28" spans="1:6" ht="27" customHeight="1" thickBot="1" x14ac:dyDescent="0.4">
      <c r="A28" s="6" t="s">
        <v>88</v>
      </c>
      <c r="B28" s="9">
        <v>0</v>
      </c>
      <c r="C28" s="7">
        <v>4961</v>
      </c>
      <c r="D28" s="9">
        <v>0</v>
      </c>
      <c r="E28" s="9">
        <v>0</v>
      </c>
      <c r="F28" s="7">
        <v>6157</v>
      </c>
    </row>
    <row r="29" spans="1:6" ht="27" customHeight="1" thickBot="1" x14ac:dyDescent="0.4">
      <c r="A29" s="6" t="s">
        <v>89</v>
      </c>
      <c r="B29" s="7">
        <v>1167</v>
      </c>
      <c r="C29" s="7">
        <v>-1540</v>
      </c>
      <c r="D29" s="9">
        <v>563</v>
      </c>
      <c r="E29" s="9">
        <v>-818</v>
      </c>
      <c r="F29" s="9">
        <v>352</v>
      </c>
    </row>
    <row r="30" spans="1:6" ht="27" customHeight="1" thickBot="1" x14ac:dyDescent="0.4">
      <c r="A30" s="5" t="s">
        <v>90</v>
      </c>
      <c r="B30" s="8">
        <v>-24449</v>
      </c>
      <c r="C30" s="8">
        <v>-10477</v>
      </c>
      <c r="D30" s="8">
        <v>-24041</v>
      </c>
      <c r="E30" s="8">
        <v>-18256</v>
      </c>
      <c r="F30" s="8">
        <v>-14821</v>
      </c>
    </row>
    <row r="31" spans="1:6" ht="27" customHeight="1" thickBot="1" x14ac:dyDescent="0.4">
      <c r="A31" s="5" t="s">
        <v>91</v>
      </c>
      <c r="B31" s="9"/>
      <c r="C31" s="9"/>
      <c r="D31" s="9"/>
      <c r="E31" s="9"/>
      <c r="F31" s="9"/>
    </row>
    <row r="32" spans="1:6" ht="27" customHeight="1" thickBot="1" x14ac:dyDescent="0.4">
      <c r="A32" s="6" t="s">
        <v>92</v>
      </c>
      <c r="B32" s="9" t="s">
        <v>64</v>
      </c>
      <c r="C32" s="7">
        <v>3945</v>
      </c>
      <c r="D32" s="9" t="s">
        <v>64</v>
      </c>
      <c r="E32" s="7">
        <v>7349</v>
      </c>
      <c r="F32" s="7">
        <v>3493</v>
      </c>
    </row>
    <row r="33" spans="1:6" ht="27" customHeight="1" thickBot="1" x14ac:dyDescent="0.4">
      <c r="A33" s="6" t="s">
        <v>93</v>
      </c>
      <c r="B33" s="9" t="s">
        <v>64</v>
      </c>
      <c r="C33" s="9" t="s">
        <v>64</v>
      </c>
      <c r="D33" s="7">
        <v>-3944</v>
      </c>
      <c r="E33" s="7">
        <v>-7349</v>
      </c>
      <c r="F33" s="7">
        <v>-3493</v>
      </c>
    </row>
    <row r="34" spans="1:6" ht="27" customHeight="1" thickBot="1" x14ac:dyDescent="0.4">
      <c r="A34" s="6" t="s">
        <v>94</v>
      </c>
      <c r="B34" s="9" t="s">
        <v>64</v>
      </c>
      <c r="C34" s="9">
        <v>874</v>
      </c>
      <c r="D34" s="7">
        <v>1511</v>
      </c>
      <c r="E34" s="7">
        <v>2714</v>
      </c>
      <c r="F34" s="7">
        <v>5108</v>
      </c>
    </row>
    <row r="35" spans="1:6" ht="27" customHeight="1" thickBot="1" x14ac:dyDescent="0.4">
      <c r="A35" s="6" t="s">
        <v>95</v>
      </c>
      <c r="B35" s="9" t="s">
        <v>64</v>
      </c>
      <c r="C35" s="9" t="s">
        <v>64</v>
      </c>
      <c r="D35" s="7">
        <v>2959</v>
      </c>
      <c r="E35" s="9" t="s">
        <v>64</v>
      </c>
      <c r="F35" s="9">
        <v>921</v>
      </c>
    </row>
    <row r="36" spans="1:6" ht="27" customHeight="1" thickBot="1" x14ac:dyDescent="0.4">
      <c r="A36" s="6" t="s">
        <v>83</v>
      </c>
      <c r="B36" s="9" t="s">
        <v>64</v>
      </c>
      <c r="C36" s="9" t="s">
        <v>64</v>
      </c>
      <c r="D36" s="9" t="s">
        <v>64</v>
      </c>
      <c r="E36" s="7">
        <v>-1178</v>
      </c>
      <c r="F36" s="7">
        <v>-3026</v>
      </c>
    </row>
    <row r="37" spans="1:6" ht="27" customHeight="1" thickBot="1" x14ac:dyDescent="0.4">
      <c r="A37" s="6" t="s">
        <v>96</v>
      </c>
      <c r="B37" s="7">
        <v>4974</v>
      </c>
      <c r="C37" s="7">
        <v>6548</v>
      </c>
      <c r="D37" s="7">
        <v>11391</v>
      </c>
      <c r="E37" s="7">
        <v>2975</v>
      </c>
      <c r="F37" s="9" t="s">
        <v>64</v>
      </c>
    </row>
    <row r="38" spans="1:6" ht="27" customHeight="1" thickBot="1" x14ac:dyDescent="0.4">
      <c r="A38" s="6" t="s">
        <v>97</v>
      </c>
      <c r="B38" s="7">
        <v>-2500</v>
      </c>
      <c r="C38" s="7">
        <v>-4984</v>
      </c>
      <c r="D38" s="7">
        <v>-1423</v>
      </c>
      <c r="E38" s="7">
        <v>-2288</v>
      </c>
      <c r="F38" s="7">
        <v>-3750</v>
      </c>
    </row>
    <row r="39" spans="1:6" ht="27" customHeight="1" thickBot="1" x14ac:dyDescent="0.4">
      <c r="A39" s="6" t="s">
        <v>98</v>
      </c>
      <c r="B39" s="7">
        <v>1020</v>
      </c>
      <c r="C39" s="9">
        <v>977</v>
      </c>
      <c r="D39" s="7">
        <v>1042</v>
      </c>
      <c r="E39" s="9">
        <v>987</v>
      </c>
      <c r="F39" s="9">
        <v>771</v>
      </c>
    </row>
    <row r="40" spans="1:6" ht="27" customHeight="1" thickBot="1" x14ac:dyDescent="0.4">
      <c r="A40" s="6" t="s">
        <v>99</v>
      </c>
      <c r="B40" s="9" t="s">
        <v>64</v>
      </c>
      <c r="C40" s="9" t="s">
        <v>64</v>
      </c>
      <c r="D40" s="9" t="s">
        <v>64</v>
      </c>
      <c r="E40" s="9" t="s">
        <v>64</v>
      </c>
      <c r="F40" s="7">
        <v>12706</v>
      </c>
    </row>
    <row r="41" spans="1:6" ht="27" customHeight="1" thickBot="1" x14ac:dyDescent="0.4">
      <c r="A41" s="6" t="s">
        <v>100</v>
      </c>
      <c r="B41" s="7">
        <v>-1480</v>
      </c>
      <c r="C41" s="9">
        <v>-989</v>
      </c>
      <c r="D41" s="9">
        <v>-534</v>
      </c>
      <c r="E41" s="9">
        <v>-631</v>
      </c>
      <c r="F41" s="9">
        <v>-423</v>
      </c>
    </row>
    <row r="42" spans="1:6" ht="27" customHeight="1" thickBot="1" x14ac:dyDescent="0.4">
      <c r="A42" s="6" t="s">
        <v>101</v>
      </c>
      <c r="B42" s="7">
        <v>-5644</v>
      </c>
      <c r="C42" s="7">
        <v>-5997</v>
      </c>
      <c r="D42" s="7">
        <v>-3088</v>
      </c>
      <c r="E42" s="7">
        <v>-1599</v>
      </c>
      <c r="F42" s="9" t="s">
        <v>64</v>
      </c>
    </row>
    <row r="43" spans="1:6" ht="27" customHeight="1" thickBot="1" x14ac:dyDescent="0.4">
      <c r="A43" s="6" t="s">
        <v>102</v>
      </c>
      <c r="B43" s="7">
        <v>-1480</v>
      </c>
      <c r="C43" s="9">
        <v>-689</v>
      </c>
      <c r="D43" s="9">
        <v>-409</v>
      </c>
      <c r="E43" s="9">
        <v>158</v>
      </c>
      <c r="F43" s="9">
        <v>-720</v>
      </c>
    </row>
    <row r="44" spans="1:6" ht="27" customHeight="1" thickBot="1" x14ac:dyDescent="0.4">
      <c r="A44" s="5" t="s">
        <v>103</v>
      </c>
      <c r="B44" s="8">
        <v>-6045</v>
      </c>
      <c r="C44" s="8">
        <v>1361</v>
      </c>
      <c r="D44" s="8">
        <v>8505</v>
      </c>
      <c r="E44" s="8">
        <v>11138</v>
      </c>
      <c r="F44" s="8">
        <v>11587</v>
      </c>
    </row>
    <row r="45" spans="1:6" ht="27" customHeight="1" thickBot="1" x14ac:dyDescent="0.4">
      <c r="A45" s="5" t="s">
        <v>104</v>
      </c>
      <c r="B45" s="8">
        <v>-1038</v>
      </c>
      <c r="C45" s="8">
        <v>6317</v>
      </c>
      <c r="D45" s="8">
        <v>-4065</v>
      </c>
      <c r="E45" s="8">
        <v>1170</v>
      </c>
      <c r="F45" s="8">
        <v>6463</v>
      </c>
    </row>
    <row r="46" spans="1:6" ht="27" customHeight="1" thickBot="1" x14ac:dyDescent="0.4">
      <c r="A46" s="5" t="s">
        <v>105</v>
      </c>
      <c r="B46" s="8">
        <v>4827</v>
      </c>
      <c r="C46" s="8">
        <v>11144</v>
      </c>
      <c r="D46" s="8">
        <v>7079</v>
      </c>
      <c r="E46" s="8">
        <v>8249</v>
      </c>
      <c r="F46" s="8">
        <v>14712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9EA3-06A3-4CFD-B10F-D86141247E5E}">
  <dimension ref="A1:F88"/>
  <sheetViews>
    <sheetView topLeftCell="A45" workbookViewId="0">
      <selection activeCell="B57" sqref="B57"/>
    </sheetView>
  </sheetViews>
  <sheetFormatPr defaultColWidth="9.1796875" defaultRowHeight="14.5" outlineLevelRow="1" x14ac:dyDescent="0.35"/>
  <cols>
    <col min="1" max="1" width="25.26953125" style="2" bestFit="1" customWidth="1"/>
    <col min="2" max="16384" width="9.1796875" style="2"/>
  </cols>
  <sheetData>
    <row r="1" spans="1:6" outlineLevel="1" x14ac:dyDescent="0.35">
      <c r="A1" s="13" t="s">
        <v>106</v>
      </c>
      <c r="B1" s="13">
        <v>2021</v>
      </c>
      <c r="C1" s="13">
        <v>2022</v>
      </c>
      <c r="D1" s="13">
        <v>2023</v>
      </c>
      <c r="E1" s="13">
        <v>2024</v>
      </c>
      <c r="F1" s="13">
        <v>2025</v>
      </c>
    </row>
    <row r="2" spans="1:6" outlineLevel="1" x14ac:dyDescent="0.35">
      <c r="A2" s="2" t="s">
        <v>107</v>
      </c>
      <c r="B2" s="15">
        <f>'Raw P&amp;L'!B$2</f>
        <v>79024</v>
      </c>
      <c r="C2" s="15">
        <f>'Raw P&amp;L'!C$2</f>
        <v>63054</v>
      </c>
      <c r="D2" s="15">
        <f>'Raw P&amp;L'!D$2</f>
        <v>54228</v>
      </c>
      <c r="E2" s="15">
        <f>'Raw P&amp;L'!E$2</f>
        <v>53101</v>
      </c>
      <c r="F2" s="15">
        <f>'Raw P&amp;L'!F$2</f>
        <v>52853</v>
      </c>
    </row>
    <row r="3" spans="1:6" outlineLevel="1" x14ac:dyDescent="0.35">
      <c r="A3" s="2" t="s">
        <v>108</v>
      </c>
      <c r="B3" s="15">
        <f>'Raw P&amp;L'!B$3</f>
        <v>35209</v>
      </c>
      <c r="C3" s="15">
        <f>'Raw P&amp;L'!C$3</f>
        <v>36188</v>
      </c>
      <c r="D3" s="15">
        <f>'Raw P&amp;L'!D$3</f>
        <v>32517</v>
      </c>
      <c r="E3" s="15">
        <f>'Raw P&amp;L'!E$3</f>
        <v>35756</v>
      </c>
      <c r="F3" s="15">
        <f>'Raw P&amp;L'!F$3</f>
        <v>34478</v>
      </c>
    </row>
    <row r="4" spans="1:6" outlineLevel="1" x14ac:dyDescent="0.35">
      <c r="A4" s="11" t="s">
        <v>12</v>
      </c>
      <c r="B4" s="15">
        <f>B2-B3</f>
        <v>43815</v>
      </c>
      <c r="C4" s="15">
        <f t="shared" ref="C4:F4" si="0">C2-C3</f>
        <v>26866</v>
      </c>
      <c r="D4" s="15">
        <f t="shared" si="0"/>
        <v>21711</v>
      </c>
      <c r="E4" s="15">
        <f t="shared" si="0"/>
        <v>17345</v>
      </c>
      <c r="F4" s="15">
        <f t="shared" si="0"/>
        <v>18375</v>
      </c>
    </row>
    <row r="5" spans="1:6" outlineLevel="1" x14ac:dyDescent="0.35">
      <c r="A5" s="3" t="s">
        <v>116</v>
      </c>
    </row>
    <row r="6" spans="1:6" outlineLevel="1" x14ac:dyDescent="0.35">
      <c r="A6" s="2" t="s">
        <v>117</v>
      </c>
      <c r="B6" s="15">
        <f>'Raw P&amp;L'!B$5</f>
        <v>15190</v>
      </c>
      <c r="C6" s="15">
        <f>'Raw P&amp;L'!C$5</f>
        <v>17528</v>
      </c>
      <c r="D6" s="15">
        <f>'Raw P&amp;L'!D$5</f>
        <v>16046</v>
      </c>
      <c r="E6" s="15">
        <f>'Raw P&amp;L'!E$5</f>
        <v>16546</v>
      </c>
      <c r="F6" s="15">
        <f>'Raw P&amp;L'!F$5</f>
        <v>13774</v>
      </c>
    </row>
    <row r="7" spans="1:6" outlineLevel="1" x14ac:dyDescent="0.35">
      <c r="A7" s="2" t="s">
        <v>118</v>
      </c>
      <c r="B7" s="15">
        <f>'Raw P&amp;L'!B$6+'Raw P&amp;L'!B$7</f>
        <v>9169</v>
      </c>
      <c r="C7" s="15">
        <f>'Raw P&amp;L'!C$6+'Raw P&amp;L'!C$7</f>
        <v>7004</v>
      </c>
      <c r="D7" s="15">
        <f>'Raw P&amp;L'!D$6+'Raw P&amp;L'!D$7</f>
        <v>5572</v>
      </c>
      <c r="E7" s="15">
        <f>'Raw P&amp;L'!E$6+'Raw P&amp;L'!E$7</f>
        <v>12477</v>
      </c>
      <c r="F7" s="15">
        <f>'Raw P&amp;L'!F$6+'Raw P&amp;L'!F$7</f>
        <v>6815</v>
      </c>
    </row>
    <row r="8" spans="1:6" outlineLevel="1" x14ac:dyDescent="0.35">
      <c r="A8" s="3" t="s">
        <v>119</v>
      </c>
      <c r="B8" s="15">
        <f>B6+B7</f>
        <v>24359</v>
      </c>
      <c r="C8" s="15">
        <f t="shared" ref="C8:F8" si="1">C6+C7</f>
        <v>24532</v>
      </c>
      <c r="D8" s="15">
        <f t="shared" si="1"/>
        <v>21618</v>
      </c>
      <c r="E8" s="15">
        <f t="shared" si="1"/>
        <v>29023</v>
      </c>
      <c r="F8" s="15">
        <f t="shared" si="1"/>
        <v>20589</v>
      </c>
    </row>
    <row r="9" spans="1:6" outlineLevel="1" x14ac:dyDescent="0.35">
      <c r="A9" s="3" t="s">
        <v>120</v>
      </c>
      <c r="B9" s="15">
        <f>B4-B8</f>
        <v>19456</v>
      </c>
      <c r="C9" s="15">
        <f t="shared" ref="C9:F9" si="2">C4-C8</f>
        <v>2334</v>
      </c>
      <c r="D9" s="15">
        <f t="shared" si="2"/>
        <v>93</v>
      </c>
      <c r="E9" s="15">
        <f t="shared" si="2"/>
        <v>-11678</v>
      </c>
      <c r="F9" s="15">
        <f t="shared" si="2"/>
        <v>-2214</v>
      </c>
    </row>
    <row r="10" spans="1:6" s="1" customFormat="1" outlineLevel="1" x14ac:dyDescent="0.35">
      <c r="A10" s="2" t="s">
        <v>18</v>
      </c>
      <c r="B10" s="16">
        <f>'Raw P&amp;L'!B10</f>
        <v>2729</v>
      </c>
      <c r="C10" s="16">
        <f>'Raw P&amp;L'!C10</f>
        <v>4268</v>
      </c>
      <c r="D10" s="16">
        <f>'Raw P&amp;L'!D10</f>
        <v>40</v>
      </c>
      <c r="E10" s="16">
        <f>'Raw P&amp;L'!E10</f>
        <v>242</v>
      </c>
      <c r="F10" s="16">
        <f>'Raw P&amp;L'!F10</f>
        <v>514</v>
      </c>
    </row>
    <row r="11" spans="1:6" outlineLevel="1" x14ac:dyDescent="0.35">
      <c r="A11" s="2" t="s">
        <v>121</v>
      </c>
      <c r="B11" s="2">
        <f>'Raw P&amp;L'!B$11</f>
        <v>-482</v>
      </c>
      <c r="C11" s="2">
        <f>'Raw P&amp;L'!C$11</f>
        <v>1166</v>
      </c>
      <c r="D11" s="2">
        <f>'Raw P&amp;L'!D$11</f>
        <v>629</v>
      </c>
      <c r="E11" s="2">
        <f>'Raw P&amp;L'!E$11</f>
        <v>226</v>
      </c>
      <c r="F11" s="2">
        <f>'Raw P&amp;L'!F$11</f>
        <v>3257</v>
      </c>
    </row>
    <row r="12" spans="1:6" outlineLevel="1" x14ac:dyDescent="0.35">
      <c r="A12" s="3" t="s">
        <v>109</v>
      </c>
      <c r="B12" s="15">
        <f>B9+B10+B11</f>
        <v>21703</v>
      </c>
      <c r="C12" s="15">
        <f t="shared" ref="C12:F12" si="3">C9+C10+C11</f>
        <v>7768</v>
      </c>
      <c r="D12" s="15">
        <f t="shared" si="3"/>
        <v>762</v>
      </c>
      <c r="E12" s="15">
        <f t="shared" si="3"/>
        <v>-11210</v>
      </c>
      <c r="F12" s="15">
        <f t="shared" si="3"/>
        <v>1557</v>
      </c>
    </row>
    <row r="13" spans="1:6" outlineLevel="1" x14ac:dyDescent="0.35">
      <c r="A13" s="2" t="s">
        <v>110</v>
      </c>
      <c r="B13" s="15">
        <f>'Raw P&amp;L'!B13</f>
        <v>1835</v>
      </c>
      <c r="C13" s="15">
        <f>'Raw P&amp;L'!C13</f>
        <v>-249</v>
      </c>
      <c r="D13" s="15">
        <f>'Raw P&amp;L'!D13</f>
        <v>-913</v>
      </c>
      <c r="E13" s="15">
        <f>'Raw P&amp;L'!E13</f>
        <v>8023</v>
      </c>
      <c r="F13" s="15">
        <f>'Raw P&amp;L'!F13</f>
        <v>1531</v>
      </c>
    </row>
    <row r="14" spans="1:6" outlineLevel="1" x14ac:dyDescent="0.35">
      <c r="A14" s="14" t="s">
        <v>111</v>
      </c>
      <c r="B14" s="15">
        <f>B12-B13</f>
        <v>19868</v>
      </c>
      <c r="C14" s="15">
        <f t="shared" ref="C14:F14" si="4">C12-C13</f>
        <v>8017</v>
      </c>
      <c r="D14" s="15">
        <f t="shared" si="4"/>
        <v>1675</v>
      </c>
      <c r="E14" s="15">
        <f t="shared" si="4"/>
        <v>-19233</v>
      </c>
      <c r="F14" s="15">
        <f t="shared" si="4"/>
        <v>26</v>
      </c>
    </row>
    <row r="18" spans="1:6" outlineLevel="1" x14ac:dyDescent="0.35">
      <c r="A18" s="13" t="s">
        <v>112</v>
      </c>
      <c r="B18" s="13">
        <v>2021</v>
      </c>
      <c r="C18" s="13">
        <v>2022</v>
      </c>
      <c r="D18" s="13">
        <v>2023</v>
      </c>
      <c r="E18" s="13">
        <v>2024</v>
      </c>
      <c r="F18" s="13">
        <v>2025</v>
      </c>
    </row>
    <row r="19" spans="1:6" outlineLevel="1" x14ac:dyDescent="0.35"/>
    <row r="20" spans="1:6" outlineLevel="1" x14ac:dyDescent="0.35">
      <c r="A20" s="3" t="s">
        <v>32</v>
      </c>
    </row>
    <row r="21" spans="1:6" outlineLevel="1" x14ac:dyDescent="0.35">
      <c r="A21" s="12" t="s">
        <v>126</v>
      </c>
      <c r="B21" s="15">
        <f>'Raw Balance Sheet'!B$3</f>
        <v>4827</v>
      </c>
      <c r="C21" s="15">
        <f>'Raw Balance Sheet'!C$3</f>
        <v>11144</v>
      </c>
      <c r="D21" s="15">
        <f>'Raw Balance Sheet'!D$3</f>
        <v>7079</v>
      </c>
      <c r="E21" s="15">
        <f>'Raw Balance Sheet'!E$3</f>
        <v>8249</v>
      </c>
      <c r="F21" s="15">
        <f>'Raw Balance Sheet'!F$3</f>
        <v>14265</v>
      </c>
    </row>
    <row r="22" spans="1:6" outlineLevel="1" x14ac:dyDescent="0.35">
      <c r="A22" s="2" t="s">
        <v>186</v>
      </c>
      <c r="B22" s="15">
        <f>'Raw Balance Sheet'!B$4</f>
        <v>24426</v>
      </c>
      <c r="C22" s="15">
        <f>'Raw Balance Sheet'!C$4</f>
        <v>17194</v>
      </c>
      <c r="D22" s="15">
        <f>'Raw Balance Sheet'!D$4</f>
        <v>17955</v>
      </c>
      <c r="E22" s="15">
        <f>'Raw Balance Sheet'!E$4</f>
        <v>13813</v>
      </c>
      <c r="F22" s="15">
        <f>'Raw Balance Sheet'!F$4</f>
        <v>23151</v>
      </c>
    </row>
    <row r="23" spans="1:6" outlineLevel="1" x14ac:dyDescent="0.35">
      <c r="A23" s="2" t="s">
        <v>168</v>
      </c>
      <c r="B23" s="15">
        <f>'Raw Balance Sheet'!B$5</f>
        <v>9457</v>
      </c>
      <c r="C23" s="15">
        <f>'Raw Balance Sheet'!C$5</f>
        <v>4133</v>
      </c>
      <c r="D23" s="15">
        <f>'Raw Balance Sheet'!D$5</f>
        <v>3402</v>
      </c>
      <c r="E23" s="15">
        <f>'Raw Balance Sheet'!E$5</f>
        <v>3478</v>
      </c>
      <c r="F23" s="15">
        <f>'Raw Balance Sheet'!F$5</f>
        <v>3839</v>
      </c>
    </row>
    <row r="24" spans="1:6" outlineLevel="1" x14ac:dyDescent="0.35">
      <c r="A24" s="2" t="s">
        <v>113</v>
      </c>
      <c r="B24" s="15">
        <f>'Raw Balance Sheet'!B$6</f>
        <v>10776</v>
      </c>
      <c r="C24" s="15">
        <f>'Raw Balance Sheet'!C$6</f>
        <v>13224</v>
      </c>
      <c r="D24" s="15">
        <f>'Raw Balance Sheet'!D$6</f>
        <v>11127</v>
      </c>
      <c r="E24" s="15">
        <f>'Raw Balance Sheet'!E$6</f>
        <v>12198</v>
      </c>
      <c r="F24" s="15">
        <f>'Raw Balance Sheet'!F$6</f>
        <v>11618</v>
      </c>
    </row>
    <row r="25" spans="1:6" outlineLevel="1" x14ac:dyDescent="0.35">
      <c r="A25" s="2" t="s">
        <v>187</v>
      </c>
      <c r="B25" s="15">
        <f>'Raw Balance Sheet'!B$7</f>
        <v>6942</v>
      </c>
      <c r="C25" s="15">
        <f>'Raw Balance Sheet'!C$7</f>
        <v>0</v>
      </c>
      <c r="D25" s="15">
        <f>'Raw Balance Sheet'!D$7</f>
        <v>0</v>
      </c>
      <c r="E25" s="15">
        <f>'Raw Balance Sheet'!E$7</f>
        <v>0</v>
      </c>
      <c r="F25" s="15">
        <f>'Raw Balance Sheet'!F$7</f>
        <v>0</v>
      </c>
    </row>
    <row r="26" spans="1:6" outlineLevel="1" x14ac:dyDescent="0.35">
      <c r="A26" s="2" t="s">
        <v>169</v>
      </c>
      <c r="B26" s="15">
        <f>'Raw Balance Sheet'!B$8</f>
        <v>2130</v>
      </c>
      <c r="C26" s="15">
        <f>'Raw Balance Sheet'!C$8</f>
        <v>4712</v>
      </c>
      <c r="D26" s="15">
        <f>'Raw Balance Sheet'!D$8</f>
        <v>3706</v>
      </c>
      <c r="E26" s="15">
        <f>'Raw Balance Sheet'!E$8</f>
        <v>9586</v>
      </c>
      <c r="F26" s="15">
        <f>'Raw Balance Sheet'!F$8</f>
        <v>10815</v>
      </c>
    </row>
    <row r="27" spans="1:6" outlineLevel="1" x14ac:dyDescent="0.35">
      <c r="A27" s="2" t="s">
        <v>188</v>
      </c>
      <c r="B27" s="15">
        <f>SUM(B21:B26)</f>
        <v>58558</v>
      </c>
      <c r="C27" s="15">
        <f t="shared" ref="C27:F27" si="5">SUM(C21:C26)</f>
        <v>50407</v>
      </c>
      <c r="D27" s="15">
        <f t="shared" si="5"/>
        <v>43269</v>
      </c>
      <c r="E27" s="15">
        <f t="shared" si="5"/>
        <v>47324</v>
      </c>
      <c r="F27" s="15">
        <f t="shared" si="5"/>
        <v>63688</v>
      </c>
    </row>
    <row r="28" spans="1:6" outlineLevel="1" x14ac:dyDescent="0.35">
      <c r="A28" s="3"/>
      <c r="B28" s="15"/>
      <c r="C28" s="15"/>
      <c r="D28" s="15"/>
      <c r="E28" s="15"/>
      <c r="F28" s="15"/>
    </row>
    <row r="29" spans="1:6" outlineLevel="1" x14ac:dyDescent="0.35">
      <c r="A29" s="2" t="s">
        <v>170</v>
      </c>
      <c r="B29" s="15">
        <f>'Raw Balance Sheet'!B$10</f>
        <v>63245</v>
      </c>
      <c r="C29" s="15">
        <f>'Raw Balance Sheet'!C$10</f>
        <v>80860</v>
      </c>
      <c r="D29" s="15">
        <f>'Raw Balance Sheet'!D$10</f>
        <v>96647</v>
      </c>
      <c r="E29" s="15">
        <f>'Raw Balance Sheet'!E$10</f>
        <v>107919</v>
      </c>
      <c r="F29" s="15">
        <f>'Raw Balance Sheet'!F$10</f>
        <v>105414</v>
      </c>
    </row>
    <row r="30" spans="1:6" outlineLevel="1" x14ac:dyDescent="0.35">
      <c r="A30" s="2" t="s">
        <v>189</v>
      </c>
      <c r="B30" s="15">
        <f>'Raw Balance Sheet'!B$11</f>
        <v>6298</v>
      </c>
      <c r="C30" s="15">
        <f>'Raw Balance Sheet'!C$11</f>
        <v>5912</v>
      </c>
      <c r="D30" s="15">
        <f>'Raw Balance Sheet'!D$11</f>
        <v>5829</v>
      </c>
      <c r="E30" s="15">
        <f>'Raw Balance Sheet'!E$11</f>
        <v>5383</v>
      </c>
      <c r="F30" s="15">
        <f>'Raw Balance Sheet'!F$11</f>
        <v>8512</v>
      </c>
    </row>
    <row r="31" spans="1:6" outlineLevel="1" x14ac:dyDescent="0.35">
      <c r="A31" s="2" t="s">
        <v>41</v>
      </c>
      <c r="B31" s="15">
        <f>'Raw Balance Sheet'!B$12</f>
        <v>26963</v>
      </c>
      <c r="C31" s="15">
        <f>'Raw Balance Sheet'!C$12</f>
        <v>27591</v>
      </c>
      <c r="D31" s="15">
        <f>'Raw Balance Sheet'!D$12</f>
        <v>27591</v>
      </c>
      <c r="E31" s="15">
        <f>'Raw Balance Sheet'!E$12</f>
        <v>24693</v>
      </c>
      <c r="F31" s="15">
        <f>'Raw Balance Sheet'!F$12</f>
        <v>23912</v>
      </c>
    </row>
    <row r="32" spans="1:6" outlineLevel="1" x14ac:dyDescent="0.35">
      <c r="A32" s="2" t="s">
        <v>190</v>
      </c>
      <c r="B32" s="15">
        <f>'Raw Balance Sheet'!B$13</f>
        <v>7270</v>
      </c>
      <c r="C32" s="15">
        <f>'Raw Balance Sheet'!C$13</f>
        <v>6018</v>
      </c>
      <c r="D32" s="15">
        <f>'Raw Balance Sheet'!D$13</f>
        <v>4589</v>
      </c>
      <c r="E32" s="15">
        <f>'Raw Balance Sheet'!E$13</f>
        <v>3691</v>
      </c>
      <c r="F32" s="15">
        <f>'Raw Balance Sheet'!F$13</f>
        <v>2772</v>
      </c>
    </row>
    <row r="33" spans="1:6" outlineLevel="1" x14ac:dyDescent="0.35">
      <c r="A33" s="2" t="s">
        <v>191</v>
      </c>
      <c r="B33" s="15">
        <f>'Raw Balance Sheet'!B$14</f>
        <v>6072</v>
      </c>
      <c r="C33" s="15">
        <f>'Raw Balance Sheet'!C$14</f>
        <v>11315</v>
      </c>
      <c r="D33" s="15">
        <f>'Raw Balance Sheet'!D$14</f>
        <v>13647</v>
      </c>
      <c r="E33" s="15">
        <f>'Raw Balance Sheet'!E$14</f>
        <v>7475</v>
      </c>
      <c r="F33" s="15">
        <f>'Raw Balance Sheet'!F$14</f>
        <v>7131</v>
      </c>
    </row>
    <row r="34" spans="1:6" outlineLevel="1" x14ac:dyDescent="0.35">
      <c r="A34" s="3" t="s">
        <v>114</v>
      </c>
      <c r="B34" s="15">
        <f>SUM(B27:B33)</f>
        <v>168406</v>
      </c>
      <c r="C34" s="15">
        <f t="shared" ref="C34:F34" si="6">SUM(C27:C33)</f>
        <v>182103</v>
      </c>
      <c r="D34" s="15">
        <f t="shared" si="6"/>
        <v>191572</v>
      </c>
      <c r="E34" s="15">
        <f t="shared" si="6"/>
        <v>196485</v>
      </c>
      <c r="F34" s="15">
        <f t="shared" si="6"/>
        <v>211429</v>
      </c>
    </row>
    <row r="35" spans="1:6" outlineLevel="1" x14ac:dyDescent="0.35">
      <c r="B35" s="15"/>
      <c r="C35" s="15"/>
      <c r="D35" s="15"/>
      <c r="E35" s="15"/>
      <c r="F35" s="15"/>
    </row>
    <row r="36" spans="1:6" outlineLevel="1" x14ac:dyDescent="0.35">
      <c r="A36" s="3" t="s">
        <v>115</v>
      </c>
      <c r="B36" s="15"/>
      <c r="C36" s="15"/>
      <c r="D36" s="15"/>
      <c r="E36" s="15"/>
      <c r="F36" s="15"/>
    </row>
    <row r="37" spans="1:6" outlineLevel="1" x14ac:dyDescent="0.35">
      <c r="A37" s="2" t="s">
        <v>127</v>
      </c>
      <c r="B37" s="15">
        <f>'Raw Balance Sheet'!B18</f>
        <v>5747</v>
      </c>
      <c r="C37" s="15">
        <f>'Raw Balance Sheet'!C18</f>
        <v>9595</v>
      </c>
      <c r="D37" s="15">
        <f>'Raw Balance Sheet'!D18</f>
        <v>8578</v>
      </c>
      <c r="E37" s="15">
        <f>'Raw Balance Sheet'!E18</f>
        <v>12556</v>
      </c>
      <c r="F37" s="15">
        <f>'Raw Balance Sheet'!F18</f>
        <v>9882</v>
      </c>
    </row>
    <row r="38" spans="1:6" outlineLevel="1" x14ac:dyDescent="0.35">
      <c r="A38" s="2" t="s">
        <v>192</v>
      </c>
      <c r="B38" s="15">
        <f>'Raw Balance Sheet'!B$19</f>
        <v>4535</v>
      </c>
      <c r="C38" s="15">
        <f>'Raw Balance Sheet'!C$19</f>
        <v>4084</v>
      </c>
      <c r="D38" s="15">
        <f>'Raw Balance Sheet'!D$19</f>
        <v>3655</v>
      </c>
      <c r="E38" s="15">
        <f>'Raw Balance Sheet'!E$19</f>
        <v>3343</v>
      </c>
      <c r="F38" s="15">
        <f>'Raw Balance Sheet'!F$19</f>
        <v>3990</v>
      </c>
    </row>
    <row r="39" spans="1:6" outlineLevel="1" x14ac:dyDescent="0.35">
      <c r="A39" s="2" t="s">
        <v>193</v>
      </c>
      <c r="B39" s="15">
        <f>'Raw Balance Sheet'!B20</f>
        <v>1076</v>
      </c>
      <c r="C39" s="15">
        <f>'Raw Balance Sheet'!C20</f>
        <v>2251</v>
      </c>
      <c r="D39" s="15">
        <f>'Raw Balance Sheet'!D20</f>
        <v>1107</v>
      </c>
      <c r="E39" s="15">
        <f>'Raw Balance Sheet'!E20</f>
        <v>1756</v>
      </c>
      <c r="F39" s="15">
        <f>'Raw Balance Sheet'!F20</f>
        <v>604</v>
      </c>
    </row>
    <row r="40" spans="1:6" outlineLevel="1" x14ac:dyDescent="0.35">
      <c r="A40" s="2" t="s">
        <v>194</v>
      </c>
      <c r="B40" s="15">
        <f>'Raw Balance Sheet'!B$21</f>
        <v>11513</v>
      </c>
      <c r="C40" s="15">
        <f>'Raw Balance Sheet'!C$21</f>
        <v>11858</v>
      </c>
      <c r="D40" s="15">
        <f>'Raw Balance Sheet'!D$21</f>
        <v>12425</v>
      </c>
      <c r="E40" s="15">
        <f>'Raw Balance Sheet'!E$21</f>
        <v>14282</v>
      </c>
      <c r="F40" s="15">
        <f>'Raw Balance Sheet'!F$21</f>
        <v>14600</v>
      </c>
    </row>
    <row r="41" spans="1:6" outlineLevel="1" x14ac:dyDescent="0.35">
      <c r="A41" s="2" t="s">
        <v>171</v>
      </c>
      <c r="B41" s="15">
        <f>'Raw Balance Sheet'!B$17</f>
        <v>4591</v>
      </c>
      <c r="C41" s="15">
        <f>'Raw Balance Sheet'!C$17</f>
        <v>4367</v>
      </c>
      <c r="D41" s="15">
        <f>'Raw Balance Sheet'!D$17</f>
        <v>2288</v>
      </c>
      <c r="E41" s="15">
        <f>'Raw Balance Sheet'!E$17</f>
        <v>3729</v>
      </c>
      <c r="F41" s="15">
        <f>'Raw Balance Sheet'!F$17</f>
        <v>2499</v>
      </c>
    </row>
    <row r="42" spans="1:6" outlineLevel="1" x14ac:dyDescent="0.35">
      <c r="A42" s="3" t="s">
        <v>128</v>
      </c>
      <c r="B42" s="15">
        <f>SUM(B37:B41)</f>
        <v>27462</v>
      </c>
      <c r="C42" s="15">
        <f t="shared" ref="C42:F42" si="7">SUM(C37:C41)</f>
        <v>32155</v>
      </c>
      <c r="D42" s="15">
        <f t="shared" si="7"/>
        <v>28053</v>
      </c>
      <c r="E42" s="15">
        <f t="shared" si="7"/>
        <v>35666</v>
      </c>
      <c r="F42" s="15">
        <f t="shared" si="7"/>
        <v>31575</v>
      </c>
    </row>
    <row r="43" spans="1:6" outlineLevel="1" x14ac:dyDescent="0.35"/>
    <row r="44" spans="1:6" outlineLevel="1" x14ac:dyDescent="0.35">
      <c r="A44" s="2" t="s">
        <v>172</v>
      </c>
      <c r="B44" s="15">
        <f>'Raw Balance Sheet'!B23</f>
        <v>33510</v>
      </c>
      <c r="C44" s="15">
        <f>'Raw Balance Sheet'!C23</f>
        <v>37684</v>
      </c>
      <c r="D44" s="15">
        <f>'Raw Balance Sheet'!D23</f>
        <v>46978</v>
      </c>
      <c r="E44" s="15">
        <f>'Raw Balance Sheet'!E23</f>
        <v>46282</v>
      </c>
      <c r="F44" s="15">
        <f>'Raw Balance Sheet'!F23</f>
        <v>44086</v>
      </c>
    </row>
    <row r="45" spans="1:6" outlineLevel="1" x14ac:dyDescent="0.35">
      <c r="A45" s="2" t="s">
        <v>195</v>
      </c>
      <c r="B45" s="15">
        <f>'Raw Balance Sheet'!B$24</f>
        <v>4305</v>
      </c>
      <c r="C45" s="15">
        <f>'Raw Balance Sheet'!C$24</f>
        <v>3796</v>
      </c>
      <c r="D45" s="15">
        <f>'Raw Balance Sheet'!D$24</f>
        <v>0</v>
      </c>
      <c r="E45" s="15">
        <f>'Raw Balance Sheet'!E$24</f>
        <v>0</v>
      </c>
      <c r="F45" s="15">
        <f>'Raw Balance Sheet'!F$24</f>
        <v>0</v>
      </c>
    </row>
    <row r="46" spans="1:6" outlineLevel="1" x14ac:dyDescent="0.35">
      <c r="A46" s="2" t="s">
        <v>184</v>
      </c>
      <c r="B46" s="15">
        <f>'Raw Balance Sheet'!B$25</f>
        <v>2667</v>
      </c>
      <c r="C46" s="15">
        <f>'Raw Balance Sheet'!C$25</f>
        <v>202</v>
      </c>
      <c r="D46" s="15">
        <f>'Raw Balance Sheet'!D$25</f>
        <v>0</v>
      </c>
      <c r="E46" s="15">
        <f>'Raw Balance Sheet'!E$25</f>
        <v>0</v>
      </c>
      <c r="F46" s="15">
        <f>'Raw Balance Sheet'!F$25</f>
        <v>0</v>
      </c>
    </row>
    <row r="47" spans="1:6" outlineLevel="1" x14ac:dyDescent="0.35">
      <c r="A47" s="2" t="s">
        <v>185</v>
      </c>
      <c r="B47" s="15">
        <f>'Raw Balance Sheet'!B$26</f>
        <v>5071</v>
      </c>
      <c r="C47" s="15">
        <f>'Raw Balance Sheet'!C$26</f>
        <v>4980</v>
      </c>
      <c r="D47" s="15">
        <f>'Raw Balance Sheet'!D$26</f>
        <v>6576</v>
      </c>
      <c r="E47" s="15">
        <f>'Raw Balance Sheet'!E$26</f>
        <v>9505</v>
      </c>
      <c r="F47" s="15">
        <f>'Raw Balance Sheet'!F$26</f>
        <v>9408</v>
      </c>
    </row>
    <row r="48" spans="1:6" outlineLevel="1" x14ac:dyDescent="0.35">
      <c r="A48" s="3" t="s">
        <v>196</v>
      </c>
      <c r="B48" s="15">
        <f>SUM(B42:B47)</f>
        <v>73015</v>
      </c>
      <c r="C48" s="15">
        <f t="shared" ref="C48:F48" si="8">SUM(C42:C47)</f>
        <v>78817</v>
      </c>
      <c r="D48" s="15">
        <f t="shared" si="8"/>
        <v>81607</v>
      </c>
      <c r="E48" s="15">
        <f t="shared" si="8"/>
        <v>91453</v>
      </c>
      <c r="F48" s="15">
        <f t="shared" si="8"/>
        <v>85069</v>
      </c>
    </row>
    <row r="49" spans="1:6" outlineLevel="1" x14ac:dyDescent="0.35">
      <c r="A49" s="3"/>
      <c r="B49" s="15"/>
      <c r="C49" s="15"/>
      <c r="D49" s="15"/>
      <c r="E49" s="15"/>
      <c r="F49" s="15"/>
    </row>
    <row r="50" spans="1:6" outlineLevel="1" x14ac:dyDescent="0.35">
      <c r="A50" s="3" t="s">
        <v>129</v>
      </c>
      <c r="B50" s="15"/>
      <c r="C50" s="15"/>
      <c r="D50" s="15"/>
      <c r="E50" s="15"/>
      <c r="F50" s="15"/>
    </row>
    <row r="51" spans="1:6" outlineLevel="1" x14ac:dyDescent="0.35">
      <c r="A51" s="2" t="s">
        <v>130</v>
      </c>
      <c r="B51" s="15">
        <f>'Raw Balance Sheet'!B$28</f>
        <v>28006</v>
      </c>
      <c r="C51" s="15">
        <f>'Raw Balance Sheet'!C$28</f>
        <v>31580</v>
      </c>
      <c r="D51" s="15">
        <f>'Raw Balance Sheet'!D$28</f>
        <v>36649</v>
      </c>
      <c r="E51" s="15">
        <f>'Raw Balance Sheet'!E$28</f>
        <v>50949</v>
      </c>
      <c r="F51" s="15">
        <f>'Raw Balance Sheet'!F$28</f>
        <v>65185</v>
      </c>
    </row>
    <row r="52" spans="1:6" outlineLevel="1" x14ac:dyDescent="0.35">
      <c r="A52" s="2" t="s">
        <v>132</v>
      </c>
      <c r="B52" s="15">
        <f>'Raw Balance Sheet'!B$29</f>
        <v>-880</v>
      </c>
      <c r="C52" s="15">
        <f>'Raw Balance Sheet'!C$29</f>
        <v>-562</v>
      </c>
      <c r="D52" s="15">
        <f>'Raw Balance Sheet'!D$29</f>
        <v>-215</v>
      </c>
      <c r="E52" s="15">
        <f>'Raw Balance Sheet'!E$29</f>
        <v>-711</v>
      </c>
      <c r="F52" s="15">
        <f>'Raw Balance Sheet'!F$29</f>
        <v>113</v>
      </c>
    </row>
    <row r="53" spans="1:6" outlineLevel="1" x14ac:dyDescent="0.35">
      <c r="A53" s="3" t="s">
        <v>131</v>
      </c>
      <c r="B53" s="15">
        <f>'Raw Balance Sheet'!B$30</f>
        <v>68265</v>
      </c>
      <c r="C53" s="15">
        <f>'Raw Balance Sheet'!C$30</f>
        <v>70405</v>
      </c>
      <c r="D53" s="15">
        <f>'Raw Balance Sheet'!D$30</f>
        <v>69156</v>
      </c>
      <c r="E53" s="15">
        <f>'Raw Balance Sheet'!E$30</f>
        <v>49032</v>
      </c>
      <c r="F53" s="15">
        <f>'Raw Balance Sheet'!F$30</f>
        <v>48983</v>
      </c>
    </row>
    <row r="54" spans="1:6" outlineLevel="1" x14ac:dyDescent="0.35">
      <c r="A54" s="2" t="s">
        <v>133</v>
      </c>
      <c r="B54" s="15">
        <f>'Raw Balance Sheet'!B$32</f>
        <v>0</v>
      </c>
      <c r="C54" s="15">
        <f>'Raw Balance Sheet'!C$32</f>
        <v>1863</v>
      </c>
      <c r="D54" s="15">
        <f>'Raw Balance Sheet'!D$32</f>
        <v>4375</v>
      </c>
      <c r="E54" s="15">
        <f>'Raw Balance Sheet'!E$32</f>
        <v>5762</v>
      </c>
      <c r="F54" s="15">
        <f>'Raw Balance Sheet'!F$32</f>
        <v>12079</v>
      </c>
    </row>
    <row r="55" spans="1:6" outlineLevel="1" x14ac:dyDescent="0.35">
      <c r="A55" s="3" t="s">
        <v>134</v>
      </c>
      <c r="B55" s="15">
        <f>SUM(B51:B54)</f>
        <v>95391</v>
      </c>
      <c r="C55" s="15">
        <f t="shared" ref="C55:F55" si="9">SUM(C51:C54)</f>
        <v>103286</v>
      </c>
      <c r="D55" s="15">
        <f t="shared" si="9"/>
        <v>109965</v>
      </c>
      <c r="E55" s="15">
        <f t="shared" si="9"/>
        <v>105032</v>
      </c>
      <c r="F55" s="15">
        <f t="shared" si="9"/>
        <v>126360</v>
      </c>
    </row>
    <row r="56" spans="1:6" outlineLevel="1" x14ac:dyDescent="0.35">
      <c r="A56" s="3"/>
      <c r="B56" s="15"/>
      <c r="C56" s="15"/>
      <c r="D56" s="15"/>
      <c r="E56" s="15"/>
      <c r="F56" s="15"/>
    </row>
    <row r="57" spans="1:6" outlineLevel="1" x14ac:dyDescent="0.35">
      <c r="A57" s="3" t="s">
        <v>206</v>
      </c>
      <c r="B57" s="15">
        <f>B34-(B48+B55)</f>
        <v>0</v>
      </c>
      <c r="C57" s="15">
        <f t="shared" ref="C57:F57" si="10">C34-(C48+C55)</f>
        <v>0</v>
      </c>
      <c r="D57" s="15">
        <f t="shared" si="10"/>
        <v>0</v>
      </c>
      <c r="E57" s="15">
        <f t="shared" si="10"/>
        <v>0</v>
      </c>
      <c r="F57" s="15">
        <f t="shared" si="10"/>
        <v>0</v>
      </c>
    </row>
    <row r="58" spans="1:6" x14ac:dyDescent="0.35">
      <c r="A58" s="3"/>
      <c r="B58" s="15"/>
      <c r="C58" s="15"/>
      <c r="D58" s="15"/>
      <c r="E58" s="15"/>
      <c r="F58" s="15"/>
    </row>
    <row r="60" spans="1:6" outlineLevel="1" x14ac:dyDescent="0.35">
      <c r="A60" s="13" t="s">
        <v>173</v>
      </c>
      <c r="B60" s="13">
        <v>2021</v>
      </c>
      <c r="C60" s="13">
        <v>2022</v>
      </c>
      <c r="D60" s="13">
        <v>2023</v>
      </c>
      <c r="E60" s="13">
        <v>2024</v>
      </c>
      <c r="F60" s="13">
        <v>2025</v>
      </c>
    </row>
    <row r="61" spans="1:6" outlineLevel="1" x14ac:dyDescent="0.35"/>
    <row r="62" spans="1:6" outlineLevel="1" x14ac:dyDescent="0.35">
      <c r="A62" s="3" t="s">
        <v>125</v>
      </c>
      <c r="B62" s="15">
        <f>'Raw P&amp;L'!B$14</f>
        <v>19868</v>
      </c>
      <c r="C62" s="15">
        <f>'Raw P&amp;L'!C$14</f>
        <v>8017</v>
      </c>
      <c r="D62" s="15">
        <f>'Raw P&amp;L'!D$14</f>
        <v>1675</v>
      </c>
      <c r="E62" s="15">
        <f>'Raw P&amp;L'!E$14</f>
        <v>-19233</v>
      </c>
      <c r="F62" s="15">
        <f>'Raw P&amp;L'!F$14</f>
        <v>26</v>
      </c>
    </row>
    <row r="63" spans="1:6" outlineLevel="1" x14ac:dyDescent="0.35"/>
    <row r="64" spans="1:6" outlineLevel="1" x14ac:dyDescent="0.35">
      <c r="A64" s="3" t="s">
        <v>135</v>
      </c>
    </row>
    <row r="65" spans="1:6" outlineLevel="1" x14ac:dyDescent="0.35">
      <c r="A65" s="2" t="s">
        <v>136</v>
      </c>
      <c r="B65" s="15">
        <f>'Raw Cash Flow'!B$5+'Raw Cash Flow'!B$8</f>
        <v>11792</v>
      </c>
      <c r="C65" s="15">
        <f>'Raw Cash Flow'!C$5+'Raw Cash Flow'!C$8</f>
        <v>13035</v>
      </c>
      <c r="D65" s="15">
        <f>'Raw Cash Flow'!D$5+'Raw Cash Flow'!D$8</f>
        <v>9602</v>
      </c>
      <c r="E65" s="15">
        <f>'Raw Cash Flow'!E$5+'Raw Cash Flow'!E$8</f>
        <v>11379</v>
      </c>
      <c r="F65" s="15">
        <f>'Raw Cash Flow'!F$5+'Raw Cash Flow'!F$8</f>
        <v>11706</v>
      </c>
    </row>
    <row r="66" spans="1:6" outlineLevel="1" x14ac:dyDescent="0.35">
      <c r="A66" s="2" t="s">
        <v>137</v>
      </c>
      <c r="B66" s="15">
        <f>'Raw Cash Flow'!B$6</f>
        <v>2036</v>
      </c>
      <c r="C66" s="15">
        <f>'Raw Cash Flow'!C$6</f>
        <v>3128</v>
      </c>
      <c r="D66" s="15">
        <f>'Raw Cash Flow'!D$6</f>
        <v>3229</v>
      </c>
      <c r="E66" s="15">
        <f>'Raw Cash Flow'!E$6</f>
        <v>3410</v>
      </c>
      <c r="F66" s="15">
        <f>'Raw Cash Flow'!F$6</f>
        <v>4234</v>
      </c>
    </row>
    <row r="67" spans="1:6" outlineLevel="1" x14ac:dyDescent="0.35">
      <c r="A67" s="2" t="s">
        <v>138</v>
      </c>
      <c r="B67" s="15">
        <f>'Raw Cash Flow'!B12+'Raw Cash Flow'!B13+'Raw Cash Flow'!B10+'Raw Cash Flow'!B9+'Raw Cash Flow'!B19</f>
        <v>-1534</v>
      </c>
      <c r="C67" s="15">
        <f>'Raw Cash Flow'!C12+'Raw Cash Flow'!C13+'Raw Cash Flow'!C10+'Raw Cash Flow'!C9+'Raw Cash Flow'!C19</f>
        <v>-6591</v>
      </c>
      <c r="D67" s="15">
        <f>'Raw Cash Flow'!D12+'Raw Cash Flow'!D13+'Raw Cash Flow'!D10+'Raw Cash Flow'!D9+'Raw Cash Flow'!D19</f>
        <v>-2526</v>
      </c>
      <c r="E67" s="15">
        <f>'Raw Cash Flow'!E12+'Raw Cash Flow'!E13+'Raw Cash Flow'!E10+'Raw Cash Flow'!E9+'Raw Cash Flow'!E19</f>
        <v>10361</v>
      </c>
      <c r="F67" s="15">
        <f>'Raw Cash Flow'!F12+'Raw Cash Flow'!F13+'Raw Cash Flow'!F10+'Raw Cash Flow'!F9+'Raw Cash Flow'!F19</f>
        <v>-6244</v>
      </c>
    </row>
    <row r="68" spans="1:6" outlineLevel="1" x14ac:dyDescent="0.35"/>
    <row r="69" spans="1:6" outlineLevel="1" x14ac:dyDescent="0.35">
      <c r="A69" s="3" t="s">
        <v>139</v>
      </c>
    </row>
    <row r="70" spans="1:6" outlineLevel="1" x14ac:dyDescent="0.35">
      <c r="A70" s="2" t="s">
        <v>140</v>
      </c>
    </row>
    <row r="71" spans="1:6" outlineLevel="1" x14ac:dyDescent="0.35">
      <c r="A71" s="2" t="s">
        <v>141</v>
      </c>
    </row>
    <row r="72" spans="1:6" outlineLevel="1" x14ac:dyDescent="0.35">
      <c r="A72" s="2" t="s">
        <v>142</v>
      </c>
    </row>
    <row r="73" spans="1:6" outlineLevel="1" x14ac:dyDescent="0.35">
      <c r="A73" s="2" t="s">
        <v>143</v>
      </c>
    </row>
    <row r="74" spans="1:6" outlineLevel="1" x14ac:dyDescent="0.35"/>
    <row r="75" spans="1:6" outlineLevel="1" x14ac:dyDescent="0.35">
      <c r="A75" s="3" t="s">
        <v>144</v>
      </c>
    </row>
    <row r="76" spans="1:6" outlineLevel="1" x14ac:dyDescent="0.35"/>
    <row r="77" spans="1:6" outlineLevel="1" x14ac:dyDescent="0.35">
      <c r="A77" s="2" t="s">
        <v>145</v>
      </c>
      <c r="B77" s="15">
        <f>'Raw Cash Flow'!B$23</f>
        <v>-18733</v>
      </c>
      <c r="C77" s="15">
        <f>'Raw Cash Flow'!C$23</f>
        <v>-24844</v>
      </c>
      <c r="D77" s="15">
        <f>'Raw Cash Flow'!D$23</f>
        <v>-25750</v>
      </c>
      <c r="E77" s="15">
        <f>'Raw Cash Flow'!E$23</f>
        <v>-23944</v>
      </c>
      <c r="F77" s="15">
        <f>'Raw Cash Flow'!F$23</f>
        <v>-14646</v>
      </c>
    </row>
    <row r="78" spans="1:6" outlineLevel="1" x14ac:dyDescent="0.35">
      <c r="A78" s="2" t="s">
        <v>146</v>
      </c>
      <c r="B78" s="15">
        <f>'Raw Cash Flow'!B24+'Raw Cash Flow'!B25+'Raw Cash Flow'!B26+'Raw Cash Flow'!B27+'Raw Cash Flow'!B28+'Raw Cash Flow'!B29</f>
        <v>-6297</v>
      </c>
    </row>
    <row r="79" spans="1:6" outlineLevel="1" x14ac:dyDescent="0.35">
      <c r="A79" s="3" t="s">
        <v>147</v>
      </c>
      <c r="B79" s="15">
        <f>SUM(B77:B78)</f>
        <v>-25030</v>
      </c>
    </row>
    <row r="80" spans="1:6" outlineLevel="1" x14ac:dyDescent="0.35"/>
    <row r="81" spans="1:1" outlineLevel="1" x14ac:dyDescent="0.35">
      <c r="A81" s="2" t="s">
        <v>148</v>
      </c>
    </row>
    <row r="82" spans="1:1" outlineLevel="1" x14ac:dyDescent="0.35">
      <c r="A82" s="2" t="s">
        <v>149</v>
      </c>
    </row>
    <row r="83" spans="1:1" outlineLevel="1" x14ac:dyDescent="0.35">
      <c r="A83" s="2" t="s">
        <v>150</v>
      </c>
    </row>
    <row r="84" spans="1:1" outlineLevel="1" x14ac:dyDescent="0.35">
      <c r="A84" s="3" t="s">
        <v>151</v>
      </c>
    </row>
    <row r="85" spans="1:1" outlineLevel="1" x14ac:dyDescent="0.35"/>
    <row r="86" spans="1:1" outlineLevel="1" x14ac:dyDescent="0.35">
      <c r="A86" s="3" t="s">
        <v>152</v>
      </c>
    </row>
    <row r="87" spans="1:1" outlineLevel="1" x14ac:dyDescent="0.35">
      <c r="A87" s="2" t="s">
        <v>153</v>
      </c>
    </row>
    <row r="88" spans="1:1" outlineLevel="1" x14ac:dyDescent="0.35">
      <c r="A88" s="2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6549-E53B-45A6-9F8C-9EE058AEF5BE}">
  <dimension ref="A1:E62"/>
  <sheetViews>
    <sheetView workbookViewId="0">
      <pane ySplit="1" topLeftCell="A35" activePane="bottomLeft" state="frozen"/>
      <selection pane="bottomLeft" activeCell="D54" sqref="D54"/>
    </sheetView>
  </sheetViews>
  <sheetFormatPr defaultColWidth="9.1796875" defaultRowHeight="12.5" x14ac:dyDescent="0.25"/>
  <cols>
    <col min="1" max="1" width="16.26953125" style="1" bestFit="1" customWidth="1"/>
    <col min="2" max="2" width="36.1796875" style="1" bestFit="1" customWidth="1"/>
    <col min="3" max="3" width="16.26953125" style="1" bestFit="1" customWidth="1"/>
    <col min="4" max="4" width="52.81640625" style="1" bestFit="1" customWidth="1"/>
    <col min="5" max="5" width="22.54296875" style="1" bestFit="1" customWidth="1"/>
    <col min="6" max="16384" width="9.1796875" style="1"/>
  </cols>
  <sheetData>
    <row r="1" spans="1:5" x14ac:dyDescent="0.25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 x14ac:dyDescent="0.25">
      <c r="A2" s="1" t="s">
        <v>106</v>
      </c>
      <c r="B2" s="1" t="s">
        <v>107</v>
      </c>
      <c r="C2" s="1" t="s">
        <v>160</v>
      </c>
      <c r="D2" s="1" t="s">
        <v>10</v>
      </c>
      <c r="E2" s="1" t="s">
        <v>161</v>
      </c>
    </row>
    <row r="3" spans="1:5" x14ac:dyDescent="0.25">
      <c r="A3" s="1" t="s">
        <v>106</v>
      </c>
      <c r="B3" s="1" t="s">
        <v>162</v>
      </c>
      <c r="C3" s="1" t="s">
        <v>160</v>
      </c>
      <c r="D3" s="1" t="s">
        <v>11</v>
      </c>
      <c r="E3" s="1" t="s">
        <v>161</v>
      </c>
    </row>
    <row r="4" spans="1:5" x14ac:dyDescent="0.25">
      <c r="A4" s="1" t="s">
        <v>106</v>
      </c>
      <c r="B4" s="1" t="s">
        <v>122</v>
      </c>
      <c r="C4" s="1" t="s">
        <v>163</v>
      </c>
      <c r="D4" s="1" t="s">
        <v>197</v>
      </c>
      <c r="E4" s="1" t="s">
        <v>198</v>
      </c>
    </row>
    <row r="5" spans="1:5" x14ac:dyDescent="0.25">
      <c r="A5" s="1" t="s">
        <v>106</v>
      </c>
      <c r="B5" s="1" t="s">
        <v>117</v>
      </c>
      <c r="C5" s="1" t="s">
        <v>160</v>
      </c>
      <c r="D5" s="1" t="s">
        <v>13</v>
      </c>
      <c r="E5" s="1" t="s">
        <v>161</v>
      </c>
    </row>
    <row r="6" spans="1:5" x14ac:dyDescent="0.25">
      <c r="A6" s="1" t="s">
        <v>106</v>
      </c>
      <c r="B6" s="1" t="s">
        <v>123</v>
      </c>
      <c r="C6" s="1" t="s">
        <v>160</v>
      </c>
      <c r="D6" s="1" t="s">
        <v>199</v>
      </c>
      <c r="E6" s="1" t="s">
        <v>200</v>
      </c>
    </row>
    <row r="7" spans="1:5" x14ac:dyDescent="0.25">
      <c r="A7" s="1" t="s">
        <v>106</v>
      </c>
      <c r="B7" s="1" t="s">
        <v>119</v>
      </c>
      <c r="C7" s="1" t="s">
        <v>163</v>
      </c>
      <c r="D7" s="1" t="s">
        <v>164</v>
      </c>
      <c r="E7" s="1" t="s">
        <v>165</v>
      </c>
    </row>
    <row r="8" spans="1:5" x14ac:dyDescent="0.25">
      <c r="A8" s="1" t="s">
        <v>106</v>
      </c>
      <c r="B8" s="1" t="s">
        <v>120</v>
      </c>
      <c r="C8" s="1" t="s">
        <v>160</v>
      </c>
      <c r="D8" s="1" t="s">
        <v>17</v>
      </c>
      <c r="E8" s="1" t="s">
        <v>161</v>
      </c>
    </row>
    <row r="9" spans="1:5" x14ac:dyDescent="0.25">
      <c r="A9" s="1" t="s">
        <v>106</v>
      </c>
      <c r="B9" s="1" t="s">
        <v>18</v>
      </c>
      <c r="C9" s="1" t="s">
        <v>160</v>
      </c>
      <c r="D9" s="1" t="s">
        <v>18</v>
      </c>
      <c r="E9" s="1" t="s">
        <v>161</v>
      </c>
    </row>
    <row r="10" spans="1:5" x14ac:dyDescent="0.25">
      <c r="A10" s="1" t="s">
        <v>106</v>
      </c>
      <c r="B10" s="1" t="s">
        <v>121</v>
      </c>
      <c r="C10" s="1" t="s">
        <v>160</v>
      </c>
      <c r="D10" s="1" t="s">
        <v>19</v>
      </c>
      <c r="E10" s="1" t="s">
        <v>161</v>
      </c>
    </row>
    <row r="11" spans="1:5" x14ac:dyDescent="0.25">
      <c r="A11" s="1" t="s">
        <v>106</v>
      </c>
      <c r="B11" s="1" t="s">
        <v>109</v>
      </c>
      <c r="C11" s="1" t="s">
        <v>163</v>
      </c>
      <c r="D11" s="1" t="s">
        <v>201</v>
      </c>
      <c r="E11" s="1" t="s">
        <v>166</v>
      </c>
    </row>
    <row r="12" spans="1:5" x14ac:dyDescent="0.25">
      <c r="A12" s="1" t="s">
        <v>106</v>
      </c>
      <c r="B12" s="1" t="s">
        <v>110</v>
      </c>
      <c r="C12" s="1" t="s">
        <v>160</v>
      </c>
      <c r="D12" s="1" t="s">
        <v>21</v>
      </c>
      <c r="E12" s="1" t="s">
        <v>161</v>
      </c>
    </row>
    <row r="13" spans="1:5" x14ac:dyDescent="0.25">
      <c r="A13" s="1" t="s">
        <v>106</v>
      </c>
      <c r="B13" s="1" t="s">
        <v>111</v>
      </c>
      <c r="C13" s="1" t="s">
        <v>160</v>
      </c>
      <c r="D13" s="1" t="s">
        <v>124</v>
      </c>
      <c r="E13" s="1" t="s">
        <v>161</v>
      </c>
    </row>
    <row r="14" spans="1:5" x14ac:dyDescent="0.25">
      <c r="A14" s="1" t="s">
        <v>112</v>
      </c>
      <c r="B14" s="1" t="s">
        <v>126</v>
      </c>
      <c r="C14" s="1" t="s">
        <v>167</v>
      </c>
      <c r="D14" s="1" t="s">
        <v>33</v>
      </c>
      <c r="E14" s="1" t="s">
        <v>161</v>
      </c>
    </row>
    <row r="15" spans="1:5" x14ac:dyDescent="0.25">
      <c r="A15" s="1" t="s">
        <v>112</v>
      </c>
      <c r="B15" s="1" t="s">
        <v>186</v>
      </c>
      <c r="C15" s="1" t="s">
        <v>167</v>
      </c>
      <c r="D15" s="1" t="s">
        <v>34</v>
      </c>
      <c r="E15" s="1" t="s">
        <v>161</v>
      </c>
    </row>
    <row r="16" spans="1:5" x14ac:dyDescent="0.25">
      <c r="A16" s="1" t="s">
        <v>112</v>
      </c>
      <c r="B16" s="1" t="s">
        <v>168</v>
      </c>
      <c r="C16" s="1" t="s">
        <v>167</v>
      </c>
      <c r="D16" s="1" t="s">
        <v>35</v>
      </c>
      <c r="E16" s="1" t="s">
        <v>161</v>
      </c>
    </row>
    <row r="17" spans="1:5" x14ac:dyDescent="0.25">
      <c r="A17" s="1" t="s">
        <v>112</v>
      </c>
      <c r="B17" s="1" t="s">
        <v>113</v>
      </c>
      <c r="C17" s="1" t="s">
        <v>167</v>
      </c>
      <c r="D17" s="1" t="s">
        <v>36</v>
      </c>
      <c r="E17" s="1" t="s">
        <v>161</v>
      </c>
    </row>
    <row r="18" spans="1:5" x14ac:dyDescent="0.25">
      <c r="A18" s="1" t="s">
        <v>112</v>
      </c>
      <c r="B18" s="1" t="s">
        <v>187</v>
      </c>
      <c r="C18" s="1" t="s">
        <v>167</v>
      </c>
      <c r="D18" s="1" t="s">
        <v>63</v>
      </c>
      <c r="E18" s="1" t="s">
        <v>161</v>
      </c>
    </row>
    <row r="19" spans="1:5" x14ac:dyDescent="0.25">
      <c r="A19" s="1" t="s">
        <v>112</v>
      </c>
      <c r="B19" s="1" t="s">
        <v>169</v>
      </c>
      <c r="C19" s="1" t="s">
        <v>167</v>
      </c>
      <c r="D19" s="1" t="s">
        <v>37</v>
      </c>
      <c r="E19" s="1" t="s">
        <v>161</v>
      </c>
    </row>
    <row r="20" spans="1:5" x14ac:dyDescent="0.25">
      <c r="A20" s="1" t="s">
        <v>112</v>
      </c>
      <c r="B20" s="1" t="s">
        <v>188</v>
      </c>
      <c r="C20" s="1" t="s">
        <v>163</v>
      </c>
      <c r="D20" s="1" t="s">
        <v>202</v>
      </c>
      <c r="E20" s="1" t="s">
        <v>166</v>
      </c>
    </row>
    <row r="21" spans="1:5" x14ac:dyDescent="0.25">
      <c r="A21" s="1" t="s">
        <v>112</v>
      </c>
      <c r="B21" s="1" t="s">
        <v>170</v>
      </c>
      <c r="C21" s="1" t="s">
        <v>167</v>
      </c>
      <c r="D21" s="1" t="s">
        <v>39</v>
      </c>
      <c r="E21" s="1" t="s">
        <v>161</v>
      </c>
    </row>
    <row r="22" spans="1:5" x14ac:dyDescent="0.25">
      <c r="A22" s="1" t="s">
        <v>112</v>
      </c>
      <c r="B22" s="1" t="s">
        <v>189</v>
      </c>
      <c r="C22" s="1" t="s">
        <v>167</v>
      </c>
      <c r="D22" s="1" t="s">
        <v>40</v>
      </c>
      <c r="E22" s="1" t="s">
        <v>161</v>
      </c>
    </row>
    <row r="23" spans="1:5" x14ac:dyDescent="0.25">
      <c r="A23" s="1" t="s">
        <v>112</v>
      </c>
      <c r="B23" s="1" t="s">
        <v>41</v>
      </c>
      <c r="C23" s="1" t="s">
        <v>167</v>
      </c>
      <c r="D23" s="1" t="s">
        <v>41</v>
      </c>
      <c r="E23" s="1" t="s">
        <v>161</v>
      </c>
    </row>
    <row r="24" spans="1:5" x14ac:dyDescent="0.25">
      <c r="A24" s="1" t="s">
        <v>112</v>
      </c>
      <c r="B24" s="1" t="s">
        <v>190</v>
      </c>
      <c r="C24" s="1" t="s">
        <v>167</v>
      </c>
      <c r="D24" s="1" t="s">
        <v>42</v>
      </c>
      <c r="E24" s="1" t="s">
        <v>161</v>
      </c>
    </row>
    <row r="25" spans="1:5" x14ac:dyDescent="0.25">
      <c r="A25" s="1" t="s">
        <v>112</v>
      </c>
      <c r="B25" s="1" t="s">
        <v>191</v>
      </c>
      <c r="C25" s="1" t="s">
        <v>167</v>
      </c>
      <c r="D25" s="1" t="s">
        <v>43</v>
      </c>
      <c r="E25" s="1" t="s">
        <v>161</v>
      </c>
    </row>
    <row r="26" spans="1:5" x14ac:dyDescent="0.25">
      <c r="A26" s="1" t="s">
        <v>112</v>
      </c>
      <c r="B26" s="1" t="s">
        <v>114</v>
      </c>
      <c r="C26" s="1" t="s">
        <v>163</v>
      </c>
      <c r="D26" s="1" t="s">
        <v>203</v>
      </c>
      <c r="E26" s="1" t="s">
        <v>166</v>
      </c>
    </row>
    <row r="27" spans="1:5" x14ac:dyDescent="0.25">
      <c r="A27" s="1" t="s">
        <v>112</v>
      </c>
      <c r="B27" s="1" t="s">
        <v>127</v>
      </c>
      <c r="C27" s="1" t="s">
        <v>167</v>
      </c>
      <c r="D27" s="1" t="s">
        <v>46</v>
      </c>
      <c r="E27" s="1" t="s">
        <v>161</v>
      </c>
    </row>
    <row r="28" spans="1:5" x14ac:dyDescent="0.25">
      <c r="A28" s="1" t="s">
        <v>112</v>
      </c>
      <c r="B28" s="1" t="s">
        <v>192</v>
      </c>
      <c r="C28" s="1" t="s">
        <v>167</v>
      </c>
      <c r="D28" s="1" t="s">
        <v>47</v>
      </c>
      <c r="E28" s="1" t="s">
        <v>161</v>
      </c>
    </row>
    <row r="29" spans="1:5" x14ac:dyDescent="0.25">
      <c r="A29" s="1" t="s">
        <v>112</v>
      </c>
      <c r="B29" s="1" t="s">
        <v>193</v>
      </c>
      <c r="C29" s="1" t="s">
        <v>167</v>
      </c>
      <c r="D29" s="1" t="s">
        <v>49</v>
      </c>
      <c r="E29" s="1" t="s">
        <v>161</v>
      </c>
    </row>
    <row r="30" spans="1:5" x14ac:dyDescent="0.25">
      <c r="A30" s="1" t="s">
        <v>112</v>
      </c>
      <c r="B30" s="1" t="s">
        <v>194</v>
      </c>
      <c r="C30" s="1" t="s">
        <v>167</v>
      </c>
      <c r="D30" s="1" t="s">
        <v>50</v>
      </c>
      <c r="E30" s="1" t="s">
        <v>161</v>
      </c>
    </row>
    <row r="31" spans="1:5" x14ac:dyDescent="0.25">
      <c r="A31" s="1" t="s">
        <v>112</v>
      </c>
      <c r="B31" s="1" t="s">
        <v>171</v>
      </c>
      <c r="C31" s="1" t="s">
        <v>167</v>
      </c>
      <c r="D31" s="1" t="s">
        <v>48</v>
      </c>
      <c r="E31" s="1" t="s">
        <v>161</v>
      </c>
    </row>
    <row r="32" spans="1:5" x14ac:dyDescent="0.25">
      <c r="A32" s="1" t="s">
        <v>112</v>
      </c>
      <c r="B32" s="1" t="s">
        <v>128</v>
      </c>
      <c r="C32" s="1" t="s">
        <v>163</v>
      </c>
      <c r="D32" s="1" t="s">
        <v>204</v>
      </c>
      <c r="E32" s="1" t="s">
        <v>166</v>
      </c>
    </row>
    <row r="33" spans="1:5" x14ac:dyDescent="0.25">
      <c r="A33" s="1" t="s">
        <v>112</v>
      </c>
      <c r="B33" s="1" t="s">
        <v>172</v>
      </c>
      <c r="C33" s="1" t="s">
        <v>167</v>
      </c>
      <c r="D33" s="1" t="s">
        <v>52</v>
      </c>
      <c r="E33" s="1" t="s">
        <v>198</v>
      </c>
    </row>
    <row r="34" spans="1:5" x14ac:dyDescent="0.25">
      <c r="A34" s="1" t="s">
        <v>112</v>
      </c>
      <c r="B34" s="1" t="s">
        <v>195</v>
      </c>
      <c r="C34" s="1" t="s">
        <v>167</v>
      </c>
      <c r="D34" s="1" t="s">
        <v>65</v>
      </c>
      <c r="E34" s="1" t="s">
        <v>161</v>
      </c>
    </row>
    <row r="35" spans="1:5" x14ac:dyDescent="0.25">
      <c r="A35" s="1" t="s">
        <v>112</v>
      </c>
      <c r="B35" s="1" t="s">
        <v>184</v>
      </c>
      <c r="C35" s="1" t="s">
        <v>167</v>
      </c>
      <c r="D35" s="1" t="s">
        <v>66</v>
      </c>
      <c r="E35" s="1" t="s">
        <v>161</v>
      </c>
    </row>
    <row r="36" spans="1:5" x14ac:dyDescent="0.25">
      <c r="A36" s="1" t="s">
        <v>112</v>
      </c>
      <c r="B36" s="1" t="s">
        <v>185</v>
      </c>
      <c r="C36" s="1" t="s">
        <v>167</v>
      </c>
      <c r="D36" s="1" t="s">
        <v>53</v>
      </c>
      <c r="E36" s="1" t="s">
        <v>161</v>
      </c>
    </row>
    <row r="37" spans="1:5" x14ac:dyDescent="0.25">
      <c r="A37" s="1" t="s">
        <v>112</v>
      </c>
      <c r="B37" s="1" t="s">
        <v>196</v>
      </c>
      <c r="C37" s="1" t="s">
        <v>163</v>
      </c>
      <c r="D37" s="1" t="s">
        <v>216</v>
      </c>
      <c r="E37" s="1" t="s">
        <v>166</v>
      </c>
    </row>
    <row r="38" spans="1:5" x14ac:dyDescent="0.25">
      <c r="A38" s="1" t="s">
        <v>112</v>
      </c>
      <c r="B38" s="1" t="s">
        <v>130</v>
      </c>
      <c r="C38" s="1" t="s">
        <v>167</v>
      </c>
      <c r="D38" s="1" t="s">
        <v>55</v>
      </c>
      <c r="E38" s="1" t="s">
        <v>161</v>
      </c>
    </row>
    <row r="39" spans="1:5" x14ac:dyDescent="0.25">
      <c r="A39" s="1" t="s">
        <v>112</v>
      </c>
      <c r="B39" s="1" t="s">
        <v>132</v>
      </c>
      <c r="C39" s="1" t="s">
        <v>167</v>
      </c>
      <c r="D39" s="1" t="s">
        <v>56</v>
      </c>
      <c r="E39" s="1" t="s">
        <v>161</v>
      </c>
    </row>
    <row r="40" spans="1:5" x14ac:dyDescent="0.25">
      <c r="A40" s="1" t="s">
        <v>112</v>
      </c>
      <c r="B40" s="1" t="s">
        <v>131</v>
      </c>
      <c r="C40" s="1" t="s">
        <v>167</v>
      </c>
      <c r="D40" s="1" t="s">
        <v>57</v>
      </c>
      <c r="E40" s="1" t="s">
        <v>161</v>
      </c>
    </row>
    <row r="41" spans="1:5" x14ac:dyDescent="0.25">
      <c r="A41" s="1" t="s">
        <v>112</v>
      </c>
      <c r="B41" s="1" t="s">
        <v>133</v>
      </c>
      <c r="C41" s="1" t="s">
        <v>167</v>
      </c>
      <c r="D41" s="1" t="s">
        <v>59</v>
      </c>
      <c r="E41" s="1" t="s">
        <v>161</v>
      </c>
    </row>
    <row r="42" spans="1:5" x14ac:dyDescent="0.25">
      <c r="A42" s="1" t="s">
        <v>112</v>
      </c>
      <c r="B42" s="1" t="s">
        <v>134</v>
      </c>
      <c r="C42" s="1" t="s">
        <v>163</v>
      </c>
      <c r="D42" s="1" t="s">
        <v>205</v>
      </c>
      <c r="E42" s="1" t="s">
        <v>166</v>
      </c>
    </row>
    <row r="43" spans="1:5" x14ac:dyDescent="0.25">
      <c r="A43" s="1" t="s">
        <v>155</v>
      </c>
      <c r="B43" s="1" t="s">
        <v>156</v>
      </c>
      <c r="C43" s="1" t="s">
        <v>157</v>
      </c>
      <c r="D43" s="1" t="s">
        <v>158</v>
      </c>
      <c r="E43" s="1" t="s">
        <v>159</v>
      </c>
    </row>
    <row r="44" spans="1:5" x14ac:dyDescent="0.25">
      <c r="A44" s="1" t="s">
        <v>173</v>
      </c>
      <c r="B44" s="1" t="s">
        <v>125</v>
      </c>
      <c r="C44" s="1" t="s">
        <v>106</v>
      </c>
      <c r="D44" s="1" t="s">
        <v>111</v>
      </c>
      <c r="E44" s="1" t="s">
        <v>174</v>
      </c>
    </row>
    <row r="45" spans="1:5" x14ac:dyDescent="0.25">
      <c r="A45" s="1" t="s">
        <v>173</v>
      </c>
      <c r="B45" s="1" t="s">
        <v>175</v>
      </c>
      <c r="C45" s="1" t="s">
        <v>207</v>
      </c>
      <c r="D45" s="1" t="s">
        <v>176</v>
      </c>
      <c r="E45" s="1" t="s">
        <v>177</v>
      </c>
    </row>
    <row r="46" spans="1:5" x14ac:dyDescent="0.25">
      <c r="A46" s="1" t="s">
        <v>173</v>
      </c>
      <c r="B46" s="1" t="s">
        <v>178</v>
      </c>
      <c r="C46" s="1" t="s">
        <v>207</v>
      </c>
      <c r="D46" s="1" t="s">
        <v>70</v>
      </c>
      <c r="E46" s="1" t="s">
        <v>161</v>
      </c>
    </row>
    <row r="47" spans="1:5" x14ac:dyDescent="0.25">
      <c r="A47" s="1" t="s">
        <v>173</v>
      </c>
      <c r="B47" s="1" t="s">
        <v>179</v>
      </c>
      <c r="C47" s="1" t="s">
        <v>207</v>
      </c>
      <c r="D47" s="1" t="s">
        <v>217</v>
      </c>
      <c r="E47" s="1" t="s">
        <v>218</v>
      </c>
    </row>
    <row r="48" spans="1:5" x14ac:dyDescent="0.25">
      <c r="A48" s="1" t="s">
        <v>173</v>
      </c>
      <c r="B48" s="1" t="s">
        <v>140</v>
      </c>
      <c r="C48" s="1" t="s">
        <v>112</v>
      </c>
      <c r="D48" s="1" t="s">
        <v>219</v>
      </c>
      <c r="E48" s="1" t="s">
        <v>208</v>
      </c>
    </row>
    <row r="49" spans="1:5" x14ac:dyDescent="0.25">
      <c r="A49" s="1" t="s">
        <v>173</v>
      </c>
      <c r="B49" s="1" t="s">
        <v>141</v>
      </c>
      <c r="C49" s="1" t="s">
        <v>112</v>
      </c>
      <c r="D49" s="1" t="s">
        <v>220</v>
      </c>
      <c r="E49" s="1" t="s">
        <v>208</v>
      </c>
    </row>
    <row r="50" spans="1:5" x14ac:dyDescent="0.25">
      <c r="A50" s="1" t="s">
        <v>173</v>
      </c>
      <c r="B50" s="1" t="s">
        <v>142</v>
      </c>
      <c r="C50" s="1" t="s">
        <v>112</v>
      </c>
      <c r="D50" s="1" t="s">
        <v>221</v>
      </c>
      <c r="E50" s="1" t="s">
        <v>209</v>
      </c>
    </row>
    <row r="51" spans="1:5" x14ac:dyDescent="0.25">
      <c r="A51" s="1" t="s">
        <v>173</v>
      </c>
      <c r="B51" s="1" t="s">
        <v>143</v>
      </c>
      <c r="C51" s="1" t="s">
        <v>112</v>
      </c>
      <c r="D51" s="1" t="s">
        <v>222</v>
      </c>
      <c r="E51" s="1" t="s">
        <v>223</v>
      </c>
    </row>
    <row r="52" spans="1:5" x14ac:dyDescent="0.25">
      <c r="A52" s="1" t="s">
        <v>173</v>
      </c>
      <c r="B52" s="1" t="s">
        <v>144</v>
      </c>
      <c r="C52" s="1" t="s">
        <v>163</v>
      </c>
      <c r="D52" s="1" t="s">
        <v>210</v>
      </c>
      <c r="E52" s="1" t="s">
        <v>166</v>
      </c>
    </row>
    <row r="53" spans="1:5" x14ac:dyDescent="0.25">
      <c r="A53" s="1" t="s">
        <v>173</v>
      </c>
      <c r="B53" s="1" t="s">
        <v>145</v>
      </c>
      <c r="C53" s="1" t="s">
        <v>207</v>
      </c>
      <c r="D53" s="1" t="s">
        <v>83</v>
      </c>
      <c r="E53" s="1" t="s">
        <v>211</v>
      </c>
    </row>
    <row r="54" spans="1:5" x14ac:dyDescent="0.25">
      <c r="A54" s="1" t="s">
        <v>173</v>
      </c>
      <c r="B54" s="1" t="s">
        <v>146</v>
      </c>
      <c r="C54" s="1" t="s">
        <v>207</v>
      </c>
      <c r="D54" s="1" t="s">
        <v>224</v>
      </c>
      <c r="E54" s="1" t="s">
        <v>212</v>
      </c>
    </row>
    <row r="55" spans="1:5" x14ac:dyDescent="0.25">
      <c r="A55" s="1" t="s">
        <v>173</v>
      </c>
      <c r="B55" s="1" t="s">
        <v>147</v>
      </c>
      <c r="C55" s="1" t="s">
        <v>163</v>
      </c>
      <c r="D55" s="1" t="s">
        <v>180</v>
      </c>
      <c r="E55" s="1" t="s">
        <v>166</v>
      </c>
    </row>
    <row r="56" spans="1:5" x14ac:dyDescent="0.25">
      <c r="A56" s="1" t="s">
        <v>173</v>
      </c>
      <c r="B56" s="1" t="s">
        <v>148</v>
      </c>
      <c r="C56" s="1" t="s">
        <v>207</v>
      </c>
      <c r="D56" s="1" t="s">
        <v>225</v>
      </c>
      <c r="E56" s="1" t="s">
        <v>181</v>
      </c>
    </row>
    <row r="57" spans="1:5" x14ac:dyDescent="0.25">
      <c r="A57" s="1" t="s">
        <v>173</v>
      </c>
      <c r="B57" s="1" t="s">
        <v>149</v>
      </c>
      <c r="C57" s="1" t="s">
        <v>207</v>
      </c>
      <c r="D57" s="1" t="s">
        <v>101</v>
      </c>
      <c r="E57" s="1" t="s">
        <v>211</v>
      </c>
    </row>
    <row r="58" spans="1:5" x14ac:dyDescent="0.25">
      <c r="A58" s="1" t="s">
        <v>173</v>
      </c>
      <c r="B58" s="1" t="s">
        <v>150</v>
      </c>
      <c r="C58" s="1" t="s">
        <v>207</v>
      </c>
      <c r="D58" s="1" t="s">
        <v>213</v>
      </c>
      <c r="E58" s="1" t="s">
        <v>214</v>
      </c>
    </row>
    <row r="59" spans="1:5" x14ac:dyDescent="0.25">
      <c r="A59" s="1" t="s">
        <v>173</v>
      </c>
      <c r="B59" s="1" t="s">
        <v>151</v>
      </c>
      <c r="C59" s="1" t="s">
        <v>163</v>
      </c>
      <c r="D59" s="1" t="s">
        <v>215</v>
      </c>
      <c r="E59" s="1" t="s">
        <v>166</v>
      </c>
    </row>
    <row r="60" spans="1:5" x14ac:dyDescent="0.25">
      <c r="A60" s="1" t="s">
        <v>173</v>
      </c>
      <c r="B60" s="1" t="s">
        <v>152</v>
      </c>
      <c r="C60" s="1" t="s">
        <v>207</v>
      </c>
      <c r="D60" s="1" t="s">
        <v>104</v>
      </c>
      <c r="E60" s="1" t="s">
        <v>161</v>
      </c>
    </row>
    <row r="61" spans="1:5" x14ac:dyDescent="0.25">
      <c r="A61" s="1" t="s">
        <v>173</v>
      </c>
      <c r="B61" s="1" t="s">
        <v>153</v>
      </c>
      <c r="C61" s="1" t="s">
        <v>207</v>
      </c>
      <c r="D61" s="1" t="s">
        <v>67</v>
      </c>
      <c r="E61" s="1" t="s">
        <v>161</v>
      </c>
    </row>
    <row r="62" spans="1:5" x14ac:dyDescent="0.25">
      <c r="A62" s="1" t="s">
        <v>173</v>
      </c>
      <c r="B62" s="1" t="s">
        <v>154</v>
      </c>
      <c r="C62" s="1" t="s">
        <v>163</v>
      </c>
      <c r="D62" s="1" t="s">
        <v>182</v>
      </c>
      <c r="E62" s="1" t="s">
        <v>183</v>
      </c>
    </row>
  </sheetData>
  <autoFilter ref="A1:E62" xr:uid="{DDE06549-E53B-45A6-9F8C-9EE058AEF5BE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P&amp;L</vt:lpstr>
      <vt:lpstr>Raw Comprehensive Income (Loss)</vt:lpstr>
      <vt:lpstr>Raw Balance Sheet</vt:lpstr>
      <vt:lpstr>Raw Cash Flow</vt:lpstr>
      <vt:lpstr>Summarized Statements</vt:lpstr>
      <vt:lpstr>Formula Sheet</vt:lpstr>
    </vt:vector>
  </TitlesOfParts>
  <Company>BASF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berk-guenay.tansuker@basf.com</dc:creator>
  <cp:lastModifiedBy>berk-guenay.tansuker@basf.com</cp:lastModifiedBy>
  <dcterms:created xsi:type="dcterms:W3CDTF">2026-04-10T11:34:31Z</dcterms:created>
  <dcterms:modified xsi:type="dcterms:W3CDTF">2026-04-12T09:48:41Z</dcterms:modified>
</cp:coreProperties>
</file>