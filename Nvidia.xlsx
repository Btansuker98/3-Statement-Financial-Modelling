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asf-my.sharepoint.com/personal/u10114272_basfad_basf_net/Documents/Desktop/Project - 3 Statement Financial Model for AI/"/>
    </mc:Choice>
  </mc:AlternateContent>
  <xr:revisionPtr revIDLastSave="1873" documentId="1_{11CF0A6A-6103-4561-A4EB-621D33603A48}" xr6:coauthVersionLast="47" xr6:coauthVersionMax="47" xr10:uidLastSave="{84A73F58-B27F-40A9-B0AF-2DC561975231}"/>
  <workbookProtection workbookAlgorithmName="SHA-512" workbookHashValue="nCezgG5hro00PSzE1Mo1YEBvJ7fWTX9TArMIdU4/k/Dl+1/2lr/yK8QD3zZBlBgb/R9ednjK0Eq+IVpO9o4epg==" workbookSaltValue="rSZJ5lP5r4Ftg/KMc18O9Q==" workbookSpinCount="100000" lockStructure="1"/>
  <bookViews>
    <workbookView xWindow="-120" yWindow="-120" windowWidth="29040" windowHeight="15720" firstSheet="3" activeTab="4" xr2:uid="{5BB22CBA-EEAF-436A-9CEB-7237DA9EEFAD}"/>
  </bookViews>
  <sheets>
    <sheet name="Introduction" sheetId="18" r:id="rId1"/>
    <sheet name="Raw P&amp;L" sheetId="1" r:id="rId2"/>
    <sheet name="Raw Balance Sheet" sheetId="2" r:id="rId3"/>
    <sheet name="Raw Cash Flow" sheetId="3" r:id="rId4"/>
    <sheet name="Financial Model &amp; Forecast" sheetId="13" r:id="rId5"/>
    <sheet name="Historical Statements Mapping" sheetId="16" r:id="rId6"/>
    <sheet name="Forecast Statement Formulas" sheetId="15" r:id="rId7"/>
    <sheet name="Assumptions Formulas" sheetId="17" r:id="rId8"/>
  </sheets>
  <definedNames>
    <definedName name="_xlnm._FilterDatabase" localSheetId="7" hidden="1">'Assumptions Formulas'!$A$1:$B$1</definedName>
    <definedName name="_xlnm._FilterDatabase" localSheetId="6" hidden="1">'Forecast Statement Formulas'!$A$1:$C$60</definedName>
    <definedName name="_xlnm._FilterDatabase" localSheetId="5" hidden="1">'Historical Statements Mapping'!$A$1:$D$66</definedName>
    <definedName name="_xlnm._FilterDatabase" localSheetId="3" hidden="1">'Raw Cash Flow'!$A$1:$G$1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13" l="1"/>
  <c r="L152" i="13" s="1"/>
  <c r="K105" i="13"/>
  <c r="K152" i="13" s="1"/>
  <c r="J105" i="13"/>
  <c r="J152" i="13" s="1"/>
  <c r="I105" i="13"/>
  <c r="I152" i="13" s="1"/>
  <c r="H105" i="13"/>
  <c r="H152" i="13" s="1"/>
  <c r="C105" i="13"/>
  <c r="D105" i="13"/>
  <c r="E105" i="13"/>
  <c r="F105" i="13"/>
  <c r="G105" i="13"/>
  <c r="C104" i="13"/>
  <c r="D104" i="13"/>
  <c r="E104" i="13"/>
  <c r="F104" i="13"/>
  <c r="G104" i="13"/>
  <c r="G149" i="13"/>
  <c r="F149" i="13"/>
  <c r="E149" i="13"/>
  <c r="D149" i="13"/>
  <c r="C149" i="13"/>
  <c r="G144" i="13"/>
  <c r="H144" i="13" s="1"/>
  <c r="F144" i="13"/>
  <c r="E144" i="13"/>
  <c r="D144" i="13"/>
  <c r="C144" i="13"/>
  <c r="C135" i="13"/>
  <c r="G131" i="13"/>
  <c r="F131" i="13"/>
  <c r="E131" i="13"/>
  <c r="D131" i="13"/>
  <c r="G130" i="13"/>
  <c r="F130" i="13"/>
  <c r="E130" i="13"/>
  <c r="D130" i="13"/>
  <c r="C131" i="13"/>
  <c r="C130" i="13"/>
  <c r="C126" i="13"/>
  <c r="C43" i="13"/>
  <c r="D43" i="13"/>
  <c r="E43" i="13"/>
  <c r="F43" i="13"/>
  <c r="G43" i="13"/>
  <c r="H149" i="13" l="1"/>
  <c r="I149" i="13" s="1"/>
  <c r="J149" i="13" s="1"/>
  <c r="K149" i="13" s="1"/>
  <c r="L149" i="13" s="1"/>
  <c r="C23" i="13"/>
  <c r="D27" i="13"/>
  <c r="C27" i="13"/>
  <c r="G27" i="13"/>
  <c r="F27" i="13"/>
  <c r="E27" i="13"/>
  <c r="I144" i="13"/>
  <c r="H89" i="13"/>
  <c r="G132" i="13"/>
  <c r="G42" i="13" s="1"/>
  <c r="C132" i="13"/>
  <c r="C42" i="13" s="1"/>
  <c r="D132" i="13"/>
  <c r="D42" i="13" s="1"/>
  <c r="E132" i="13"/>
  <c r="E42" i="13" s="1"/>
  <c r="F132" i="13"/>
  <c r="F42" i="13" s="1"/>
  <c r="H92" i="13" l="1"/>
  <c r="I92" i="13"/>
  <c r="J144" i="13"/>
  <c r="I89" i="13"/>
  <c r="J92" i="13" l="1"/>
  <c r="K144" i="13"/>
  <c r="J89" i="13"/>
  <c r="L92" i="13" l="1"/>
  <c r="K92" i="13"/>
  <c r="L144" i="13"/>
  <c r="L89" i="13" s="1"/>
  <c r="K89" i="13"/>
  <c r="L39" i="13" l="1"/>
  <c r="K39" i="13"/>
  <c r="J39" i="13"/>
  <c r="I39" i="13"/>
  <c r="H39" i="13"/>
  <c r="C114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6" i="13"/>
  <c r="F106" i="13"/>
  <c r="E106" i="13"/>
  <c r="D106" i="13"/>
  <c r="G152" i="13"/>
  <c r="F152" i="13"/>
  <c r="E152" i="13"/>
  <c r="D152" i="13"/>
  <c r="C110" i="13"/>
  <c r="C109" i="13"/>
  <c r="C108" i="13"/>
  <c r="C107" i="13"/>
  <c r="C106" i="13"/>
  <c r="G100" i="13"/>
  <c r="F100" i="13"/>
  <c r="E100" i="13"/>
  <c r="D100" i="13"/>
  <c r="C100" i="13"/>
  <c r="G99" i="13"/>
  <c r="F99" i="13"/>
  <c r="E99" i="13"/>
  <c r="D99" i="13"/>
  <c r="G98" i="13"/>
  <c r="F98" i="13"/>
  <c r="E98" i="13"/>
  <c r="D98" i="13"/>
  <c r="G97" i="13"/>
  <c r="F97" i="13"/>
  <c r="E97" i="13"/>
  <c r="D97" i="13"/>
  <c r="G96" i="13"/>
  <c r="G136" i="13" s="1"/>
  <c r="F96" i="13"/>
  <c r="F136" i="13" s="1"/>
  <c r="E96" i="13"/>
  <c r="E136" i="13" s="1"/>
  <c r="D96" i="13"/>
  <c r="D136" i="13" s="1"/>
  <c r="C99" i="13"/>
  <c r="C98" i="13"/>
  <c r="C97" i="13"/>
  <c r="C96" i="13"/>
  <c r="C136" i="13" s="1"/>
  <c r="G92" i="13"/>
  <c r="F92" i="13"/>
  <c r="E92" i="13"/>
  <c r="D92" i="13"/>
  <c r="G91" i="13"/>
  <c r="F91" i="13"/>
  <c r="E91" i="13"/>
  <c r="D91" i="13"/>
  <c r="G90" i="13"/>
  <c r="F90" i="13"/>
  <c r="E90" i="13"/>
  <c r="D90" i="13"/>
  <c r="G89" i="13"/>
  <c r="F89" i="13"/>
  <c r="E89" i="13"/>
  <c r="D89" i="13"/>
  <c r="G88" i="13"/>
  <c r="F88" i="13"/>
  <c r="E88" i="13"/>
  <c r="D88" i="13"/>
  <c r="G87" i="13"/>
  <c r="F87" i="13"/>
  <c r="E87" i="13"/>
  <c r="D87" i="13"/>
  <c r="G86" i="13"/>
  <c r="F86" i="13"/>
  <c r="E86" i="13"/>
  <c r="D86" i="13"/>
  <c r="G85" i="13"/>
  <c r="H85" i="13" s="1"/>
  <c r="I85" i="13" s="1"/>
  <c r="J85" i="13" s="1"/>
  <c r="K85" i="13" s="1"/>
  <c r="L85" i="13" s="1"/>
  <c r="F85" i="13"/>
  <c r="E85" i="13"/>
  <c r="D85" i="13"/>
  <c r="G84" i="13"/>
  <c r="F84" i="13"/>
  <c r="E84" i="13"/>
  <c r="D84" i="13"/>
  <c r="G83" i="13"/>
  <c r="G137" i="13" s="1"/>
  <c r="F83" i="13"/>
  <c r="F137" i="13" s="1"/>
  <c r="E83" i="13"/>
  <c r="E137" i="13" s="1"/>
  <c r="D83" i="13"/>
  <c r="D137" i="13" s="1"/>
  <c r="G82" i="13"/>
  <c r="F82" i="13"/>
  <c r="E82" i="13"/>
  <c r="D82" i="13"/>
  <c r="C92" i="13"/>
  <c r="C91" i="13"/>
  <c r="C89" i="13"/>
  <c r="C90" i="13"/>
  <c r="C88" i="13"/>
  <c r="C87" i="13"/>
  <c r="C86" i="13"/>
  <c r="C85" i="13"/>
  <c r="C84" i="13"/>
  <c r="C83" i="13"/>
  <c r="C137" i="13" s="1"/>
  <c r="C82" i="13"/>
  <c r="G72" i="13"/>
  <c r="F72" i="13"/>
  <c r="E72" i="13"/>
  <c r="D72" i="13"/>
  <c r="G71" i="13"/>
  <c r="H71" i="13" s="1"/>
  <c r="I71" i="13" s="1"/>
  <c r="J71" i="13" s="1"/>
  <c r="K71" i="13" s="1"/>
  <c r="L71" i="13" s="1"/>
  <c r="F71" i="13"/>
  <c r="E71" i="13"/>
  <c r="D71" i="13"/>
  <c r="C71" i="13"/>
  <c r="C72" i="13"/>
  <c r="G67" i="13"/>
  <c r="H67" i="13" s="1"/>
  <c r="I67" i="13" s="1"/>
  <c r="J67" i="13" s="1"/>
  <c r="K67" i="13" s="1"/>
  <c r="L67" i="13" s="1"/>
  <c r="F67" i="13"/>
  <c r="E67" i="13"/>
  <c r="D67" i="13"/>
  <c r="G66" i="13"/>
  <c r="G145" i="13" s="1"/>
  <c r="F66" i="13"/>
  <c r="F145" i="13" s="1"/>
  <c r="E66" i="13"/>
  <c r="E145" i="13" s="1"/>
  <c r="D66" i="13"/>
  <c r="D145" i="13" s="1"/>
  <c r="G65" i="13"/>
  <c r="F65" i="13"/>
  <c r="F127" i="13" s="1"/>
  <c r="E65" i="13"/>
  <c r="E127" i="13" s="1"/>
  <c r="D65" i="13"/>
  <c r="D127" i="13" s="1"/>
  <c r="G64" i="13"/>
  <c r="G143" i="13" s="1"/>
  <c r="F64" i="13"/>
  <c r="F143" i="13" s="1"/>
  <c r="E64" i="13"/>
  <c r="E143" i="13" s="1"/>
  <c r="D64" i="13"/>
  <c r="D143" i="13" s="1"/>
  <c r="C67" i="13"/>
  <c r="C66" i="13"/>
  <c r="C145" i="13" s="1"/>
  <c r="C65" i="13"/>
  <c r="C127" i="13" s="1"/>
  <c r="C64" i="13"/>
  <c r="C143" i="13" s="1"/>
  <c r="G60" i="13"/>
  <c r="F60" i="13"/>
  <c r="E60" i="13"/>
  <c r="D60" i="13"/>
  <c r="G59" i="13"/>
  <c r="G138" i="13" s="1"/>
  <c r="H135" i="13" s="1"/>
  <c r="F59" i="13"/>
  <c r="F138" i="13" s="1"/>
  <c r="G135" i="13" s="1"/>
  <c r="E59" i="13"/>
  <c r="E138" i="13" s="1"/>
  <c r="F135" i="13" s="1"/>
  <c r="D59" i="13"/>
  <c r="D138" i="13" s="1"/>
  <c r="E135" i="13" s="1"/>
  <c r="G58" i="13"/>
  <c r="G142" i="13" s="1"/>
  <c r="F58" i="13"/>
  <c r="F142" i="13" s="1"/>
  <c r="E58" i="13"/>
  <c r="E142" i="13" s="1"/>
  <c r="D58" i="13"/>
  <c r="D142" i="13" s="1"/>
  <c r="G57" i="13"/>
  <c r="G141" i="13" s="1"/>
  <c r="F57" i="13"/>
  <c r="F141" i="13" s="1"/>
  <c r="E57" i="13"/>
  <c r="E141" i="13" s="1"/>
  <c r="D57" i="13"/>
  <c r="D141" i="13" s="1"/>
  <c r="G56" i="13"/>
  <c r="F56" i="13"/>
  <c r="E56" i="13"/>
  <c r="D56" i="13"/>
  <c r="C60" i="13"/>
  <c r="C59" i="13"/>
  <c r="C138" i="13" s="1"/>
  <c r="D135" i="13" s="1"/>
  <c r="C58" i="13"/>
  <c r="C142" i="13" s="1"/>
  <c r="C57" i="13"/>
  <c r="C141" i="13" s="1"/>
  <c r="C56" i="13"/>
  <c r="G48" i="13"/>
  <c r="F48" i="13"/>
  <c r="E48" i="13"/>
  <c r="D48" i="13"/>
  <c r="C48" i="13"/>
  <c r="G45" i="13"/>
  <c r="F45" i="13"/>
  <c r="E45" i="13"/>
  <c r="D45" i="13"/>
  <c r="C45" i="13"/>
  <c r="G39" i="13"/>
  <c r="G14" i="13" s="1"/>
  <c r="F39" i="13"/>
  <c r="F14" i="13" s="1"/>
  <c r="E39" i="13"/>
  <c r="E14" i="13" s="1"/>
  <c r="D39" i="13"/>
  <c r="D14" i="13" s="1"/>
  <c r="G38" i="13"/>
  <c r="F38" i="13"/>
  <c r="E38" i="13"/>
  <c r="D38" i="13"/>
  <c r="G37" i="13"/>
  <c r="F37" i="13"/>
  <c r="E37" i="13"/>
  <c r="D37" i="13"/>
  <c r="C39" i="13"/>
  <c r="C14" i="13" s="1"/>
  <c r="C38" i="13"/>
  <c r="C37" i="13"/>
  <c r="G35" i="13"/>
  <c r="F35" i="13"/>
  <c r="E35" i="13"/>
  <c r="D35" i="13"/>
  <c r="G34" i="13"/>
  <c r="F34" i="13"/>
  <c r="F159" i="13" s="1"/>
  <c r="E34" i="13"/>
  <c r="E159" i="13" s="1"/>
  <c r="D34" i="13"/>
  <c r="D159" i="13" s="1"/>
  <c r="C35" i="13"/>
  <c r="C34" i="13"/>
  <c r="C159" i="13" s="1"/>
  <c r="H34" i="13" l="1"/>
  <c r="H37" i="13" s="1"/>
  <c r="G159" i="13"/>
  <c r="C122" i="13"/>
  <c r="C22" i="13"/>
  <c r="E146" i="13"/>
  <c r="D146" i="13"/>
  <c r="G127" i="13"/>
  <c r="H126" i="13" s="1"/>
  <c r="H131" i="13" s="1"/>
  <c r="H65" i="13"/>
  <c r="H83" i="13"/>
  <c r="C146" i="13"/>
  <c r="F146" i="13"/>
  <c r="C152" i="13"/>
  <c r="G126" i="13"/>
  <c r="G23" i="13" s="1"/>
  <c r="E126" i="13"/>
  <c r="E23" i="13" s="1"/>
  <c r="F126" i="13"/>
  <c r="F23" i="13" s="1"/>
  <c r="G146" i="13"/>
  <c r="D126" i="13"/>
  <c r="D23" i="13" s="1"/>
  <c r="C12" i="13"/>
  <c r="D13" i="13"/>
  <c r="F15" i="13"/>
  <c r="C16" i="13"/>
  <c r="C19" i="13"/>
  <c r="E13" i="13"/>
  <c r="D73" i="13"/>
  <c r="C13" i="13"/>
  <c r="C20" i="13"/>
  <c r="D10" i="13"/>
  <c r="C15" i="13"/>
  <c r="F17" i="13"/>
  <c r="F18" i="13"/>
  <c r="D17" i="13"/>
  <c r="E12" i="13"/>
  <c r="E17" i="13"/>
  <c r="F12" i="13"/>
  <c r="E15" i="13"/>
  <c r="D19" i="13"/>
  <c r="E19" i="13"/>
  <c r="C61" i="13"/>
  <c r="G73" i="13"/>
  <c r="E20" i="13"/>
  <c r="E16" i="13"/>
  <c r="F16" i="13"/>
  <c r="G16" i="13"/>
  <c r="F20" i="13"/>
  <c r="D18" i="13"/>
  <c r="G10" i="13"/>
  <c r="D12" i="13"/>
  <c r="G19" i="13"/>
  <c r="E18" i="13"/>
  <c r="G17" i="13"/>
  <c r="E73" i="13"/>
  <c r="D16" i="13"/>
  <c r="C68" i="13"/>
  <c r="F73" i="13"/>
  <c r="F19" i="13"/>
  <c r="C17" i="13"/>
  <c r="C73" i="13"/>
  <c r="G12" i="13"/>
  <c r="G15" i="13"/>
  <c r="D20" i="13"/>
  <c r="C18" i="13"/>
  <c r="D111" i="13"/>
  <c r="D164" i="13" s="1"/>
  <c r="C93" i="13"/>
  <c r="C162" i="13" s="1"/>
  <c r="E111" i="13"/>
  <c r="E164" i="13" s="1"/>
  <c r="F10" i="13"/>
  <c r="F13" i="13"/>
  <c r="G20" i="13"/>
  <c r="G18" i="13"/>
  <c r="C111" i="13"/>
  <c r="C164" i="13" s="1"/>
  <c r="D15" i="13"/>
  <c r="E10" i="13"/>
  <c r="G13" i="13"/>
  <c r="D101" i="13"/>
  <c r="D163" i="13" s="1"/>
  <c r="F93" i="13"/>
  <c r="F162" i="13" s="1"/>
  <c r="D93" i="13"/>
  <c r="D162" i="13" s="1"/>
  <c r="E93" i="13"/>
  <c r="E162" i="13" s="1"/>
  <c r="E101" i="13"/>
  <c r="E163" i="13" s="1"/>
  <c r="D61" i="13"/>
  <c r="G93" i="13"/>
  <c r="G162" i="13" s="1"/>
  <c r="G101" i="13"/>
  <c r="G163" i="13" s="1"/>
  <c r="E61" i="13"/>
  <c r="C101" i="13"/>
  <c r="C163" i="13" s="1"/>
  <c r="G111" i="13"/>
  <c r="G164" i="13" s="1"/>
  <c r="D68" i="13"/>
  <c r="F61" i="13"/>
  <c r="E68" i="13"/>
  <c r="G61" i="13"/>
  <c r="F68" i="13"/>
  <c r="G68" i="13"/>
  <c r="F111" i="13"/>
  <c r="F164" i="13" s="1"/>
  <c r="F101" i="13"/>
  <c r="F163" i="13" s="1"/>
  <c r="C40" i="13"/>
  <c r="C26" i="13" s="1"/>
  <c r="F40" i="13"/>
  <c r="F26" i="13" s="1"/>
  <c r="C36" i="13"/>
  <c r="C160" i="13" s="1"/>
  <c r="D36" i="13"/>
  <c r="D40" i="13"/>
  <c r="D26" i="13" s="1"/>
  <c r="E36" i="13"/>
  <c r="E40" i="13"/>
  <c r="E26" i="13" s="1"/>
  <c r="F36" i="13"/>
  <c r="F160" i="13" s="1"/>
  <c r="G36" i="13"/>
  <c r="G40" i="13"/>
  <c r="G26" i="13" s="1"/>
  <c r="H35" i="13" l="1"/>
  <c r="H64" i="13" s="1"/>
  <c r="H159" i="13"/>
  <c r="H38" i="13"/>
  <c r="H40" i="13" s="1"/>
  <c r="H66" i="13" s="1"/>
  <c r="I34" i="13"/>
  <c r="I97" i="13" s="1"/>
  <c r="I98" i="13" s="1"/>
  <c r="H96" i="13"/>
  <c r="H136" i="13" s="1"/>
  <c r="H57" i="13"/>
  <c r="H141" i="13"/>
  <c r="H87" i="13" s="1"/>
  <c r="H84" i="13"/>
  <c r="H109" i="13" s="1"/>
  <c r="H86" i="13"/>
  <c r="H97" i="13"/>
  <c r="H98" i="13" s="1"/>
  <c r="H101" i="13" s="1"/>
  <c r="H163" i="13" s="1"/>
  <c r="E11" i="13"/>
  <c r="E160" i="13"/>
  <c r="G11" i="13"/>
  <c r="G160" i="13"/>
  <c r="D11" i="13"/>
  <c r="D160" i="13"/>
  <c r="D147" i="13"/>
  <c r="H137" i="13"/>
  <c r="H48" i="13"/>
  <c r="I65" i="13"/>
  <c r="H127" i="13"/>
  <c r="F147" i="13"/>
  <c r="E147" i="13"/>
  <c r="H108" i="13"/>
  <c r="G147" i="13"/>
  <c r="D113" i="13"/>
  <c r="D74" i="13"/>
  <c r="D76" i="13" s="1"/>
  <c r="D3" i="13" s="1"/>
  <c r="E74" i="13"/>
  <c r="E76" i="13" s="1"/>
  <c r="E3" i="13" s="1"/>
  <c r="C74" i="13"/>
  <c r="C76" i="13" s="1"/>
  <c r="C3" i="13" s="1"/>
  <c r="G74" i="13"/>
  <c r="G76" i="13" s="1"/>
  <c r="G3" i="13" s="1"/>
  <c r="C113" i="13"/>
  <c r="C115" i="13" s="1"/>
  <c r="F113" i="13"/>
  <c r="F74" i="13"/>
  <c r="F76" i="13" s="1"/>
  <c r="F3" i="13" s="1"/>
  <c r="E113" i="13"/>
  <c r="F41" i="13"/>
  <c r="F44" i="13" s="1"/>
  <c r="F11" i="13"/>
  <c r="G113" i="13"/>
  <c r="C41" i="13"/>
  <c r="C44" i="13" s="1"/>
  <c r="C11" i="13"/>
  <c r="D41" i="13"/>
  <c r="D44" i="13" s="1"/>
  <c r="G41" i="13"/>
  <c r="G44" i="13" s="1"/>
  <c r="E41" i="13"/>
  <c r="E44" i="13" s="1"/>
  <c r="J34" i="13" l="1"/>
  <c r="J97" i="13" s="1"/>
  <c r="J98" i="13" s="1"/>
  <c r="I96" i="13"/>
  <c r="I101" i="13" s="1"/>
  <c r="I163" i="13" s="1"/>
  <c r="H143" i="13"/>
  <c r="H90" i="13" s="1"/>
  <c r="I57" i="13"/>
  <c r="H142" i="13"/>
  <c r="H88" i="13" s="1"/>
  <c r="H36" i="13"/>
  <c r="H160" i="13" s="1"/>
  <c r="I159" i="13"/>
  <c r="I37" i="13"/>
  <c r="H58" i="13"/>
  <c r="I86" i="13"/>
  <c r="I141" i="13"/>
  <c r="I87" i="13" s="1"/>
  <c r="I35" i="13"/>
  <c r="I58" i="13" s="1"/>
  <c r="I38" i="13"/>
  <c r="I84" i="13"/>
  <c r="I109" i="13" s="1"/>
  <c r="H60" i="13"/>
  <c r="I126" i="13"/>
  <c r="I131" i="13" s="1"/>
  <c r="H154" i="13"/>
  <c r="H68" i="13"/>
  <c r="H138" i="13"/>
  <c r="I135" i="13" s="1"/>
  <c r="I83" i="13" s="1"/>
  <c r="J65" i="13"/>
  <c r="I127" i="13"/>
  <c r="J96" i="13"/>
  <c r="H145" i="13"/>
  <c r="H91" i="13" s="1"/>
  <c r="D114" i="13"/>
  <c r="D22" i="13" s="1"/>
  <c r="C123" i="13"/>
  <c r="E49" i="13"/>
  <c r="G49" i="13"/>
  <c r="D49" i="13"/>
  <c r="C49" i="13"/>
  <c r="F49" i="13"/>
  <c r="J57" i="13" l="1"/>
  <c r="J37" i="13"/>
  <c r="J38" i="13"/>
  <c r="J86" i="13"/>
  <c r="J35" i="13"/>
  <c r="J36" i="13" s="1"/>
  <c r="J160" i="13" s="1"/>
  <c r="K34" i="13"/>
  <c r="K97" i="13" s="1"/>
  <c r="K98" i="13" s="1"/>
  <c r="J141" i="13"/>
  <c r="J87" i="13" s="1"/>
  <c r="J159" i="13"/>
  <c r="J84" i="13"/>
  <c r="J108" i="13" s="1"/>
  <c r="I40" i="13"/>
  <c r="I66" i="13" s="1"/>
  <c r="I64" i="13"/>
  <c r="I68" i="13" s="1"/>
  <c r="I143" i="13"/>
  <c r="I90" i="13" s="1"/>
  <c r="I136" i="13"/>
  <c r="I142" i="13"/>
  <c r="I88" i="13" s="1"/>
  <c r="I36" i="13"/>
  <c r="I160" i="13" s="1"/>
  <c r="I108" i="13"/>
  <c r="I60" i="13" s="1"/>
  <c r="H41" i="13"/>
  <c r="H49" i="13" s="1"/>
  <c r="K159" i="13"/>
  <c r="J126" i="13"/>
  <c r="J131" i="13" s="1"/>
  <c r="I154" i="13"/>
  <c r="H59" i="13"/>
  <c r="I137" i="13"/>
  <c r="I48" i="13"/>
  <c r="K65" i="13"/>
  <c r="J127" i="13"/>
  <c r="K86" i="13"/>
  <c r="K84" i="13"/>
  <c r="K96" i="13"/>
  <c r="J101" i="13"/>
  <c r="J163" i="13" s="1"/>
  <c r="J136" i="13"/>
  <c r="J64" i="13"/>
  <c r="J58" i="13"/>
  <c r="H146" i="13"/>
  <c r="H147" i="13" s="1"/>
  <c r="J143" i="13"/>
  <c r="K141" i="13"/>
  <c r="D115" i="13"/>
  <c r="D122" i="13"/>
  <c r="J40" i="13"/>
  <c r="J66" i="13" s="1"/>
  <c r="K38" i="13"/>
  <c r="K37" i="13"/>
  <c r="K35" i="13"/>
  <c r="L34" i="13"/>
  <c r="L97" i="13" s="1"/>
  <c r="L98" i="13" s="1"/>
  <c r="F46" i="13"/>
  <c r="F21" i="13"/>
  <c r="D46" i="13"/>
  <c r="D21" i="13"/>
  <c r="G46" i="13"/>
  <c r="G21" i="13"/>
  <c r="C46" i="13"/>
  <c r="C24" i="13" s="1"/>
  <c r="C21" i="13"/>
  <c r="E46" i="13"/>
  <c r="E21" i="13"/>
  <c r="J90" i="13" l="1"/>
  <c r="K57" i="13"/>
  <c r="J142" i="13"/>
  <c r="J109" i="13"/>
  <c r="I145" i="13"/>
  <c r="I91" i="13" s="1"/>
  <c r="I41" i="13"/>
  <c r="I49" i="13" s="1"/>
  <c r="I138" i="13"/>
  <c r="J135" i="13" s="1"/>
  <c r="J83" i="13" s="1"/>
  <c r="J88" i="13"/>
  <c r="J60" i="13"/>
  <c r="L159" i="13"/>
  <c r="K126" i="13"/>
  <c r="K131" i="13" s="1"/>
  <c r="J154" i="13"/>
  <c r="J68" i="13"/>
  <c r="D25" i="13"/>
  <c r="D24" i="13"/>
  <c r="F25" i="13"/>
  <c r="F24" i="13"/>
  <c r="E25" i="13"/>
  <c r="E24" i="13"/>
  <c r="C25" i="13"/>
  <c r="G25" i="13"/>
  <c r="G24" i="13"/>
  <c r="L65" i="13"/>
  <c r="L127" i="13" s="1"/>
  <c r="K127" i="13"/>
  <c r="K109" i="13"/>
  <c r="K108" i="13"/>
  <c r="K101" i="13"/>
  <c r="K163" i="13" s="1"/>
  <c r="K136" i="13"/>
  <c r="K64" i="13"/>
  <c r="K58" i="13"/>
  <c r="L57" i="13"/>
  <c r="L86" i="13"/>
  <c r="L96" i="13"/>
  <c r="L84" i="13"/>
  <c r="J41" i="13"/>
  <c r="J145" i="13"/>
  <c r="K87" i="13"/>
  <c r="K36" i="13"/>
  <c r="K160" i="13" s="1"/>
  <c r="K143" i="13"/>
  <c r="K90" i="13" s="1"/>
  <c r="K142" i="13"/>
  <c r="K88" i="13" s="1"/>
  <c r="L141" i="13"/>
  <c r="E114" i="13"/>
  <c r="D123" i="13"/>
  <c r="L37" i="13"/>
  <c r="L38" i="13"/>
  <c r="L35" i="13"/>
  <c r="K40" i="13"/>
  <c r="K66" i="13" s="1"/>
  <c r="J91" i="13" l="1"/>
  <c r="I59" i="13"/>
  <c r="I146" i="13"/>
  <c r="I147" i="13" s="1"/>
  <c r="K60" i="13"/>
  <c r="J146" i="13"/>
  <c r="K68" i="13"/>
  <c r="L126" i="13"/>
  <c r="L131" i="13" s="1"/>
  <c r="K154" i="13"/>
  <c r="E122" i="13"/>
  <c r="E22" i="13"/>
  <c r="J137" i="13"/>
  <c r="J138" i="13" s="1"/>
  <c r="K135" i="13" s="1"/>
  <c r="K83" i="13" s="1"/>
  <c r="J48" i="13"/>
  <c r="J49" i="13" s="1"/>
  <c r="L109" i="13"/>
  <c r="L108" i="13"/>
  <c r="L136" i="13"/>
  <c r="L101" i="13"/>
  <c r="L163" i="13" s="1"/>
  <c r="L58" i="13"/>
  <c r="L64" i="13"/>
  <c r="L87" i="13"/>
  <c r="K41" i="13"/>
  <c r="K145" i="13"/>
  <c r="K91" i="13" s="1"/>
  <c r="L36" i="13"/>
  <c r="L160" i="13" s="1"/>
  <c r="L142" i="13"/>
  <c r="L88" i="13" s="1"/>
  <c r="L143" i="13"/>
  <c r="L90" i="13" s="1"/>
  <c r="E115" i="13"/>
  <c r="F114" i="13" s="1"/>
  <c r="L40" i="13"/>
  <c r="L66" i="13" s="1"/>
  <c r="J147" i="13" l="1"/>
  <c r="L60" i="13"/>
  <c r="L154" i="13"/>
  <c r="F115" i="13"/>
  <c r="G114" i="13" s="1"/>
  <c r="F22" i="13"/>
  <c r="J59" i="13"/>
  <c r="L68" i="13"/>
  <c r="K137" i="13"/>
  <c r="K138" i="13" s="1"/>
  <c r="K59" i="13" s="1"/>
  <c r="K48" i="13"/>
  <c r="K49" i="13" s="1"/>
  <c r="L41" i="13"/>
  <c r="L145" i="13"/>
  <c r="L91" i="13" s="1"/>
  <c r="K146" i="13"/>
  <c r="K147" i="13" s="1"/>
  <c r="E123" i="13"/>
  <c r="F122" i="13"/>
  <c r="G122" i="13" l="1"/>
  <c r="G22" i="13"/>
  <c r="F123" i="13"/>
  <c r="L135" i="13"/>
  <c r="L83" i="13" s="1"/>
  <c r="L137" i="13" s="1"/>
  <c r="L138" i="13" s="1"/>
  <c r="L59" i="13" s="1"/>
  <c r="L146" i="13"/>
  <c r="L147" i="13" s="1"/>
  <c r="G115" i="13"/>
  <c r="L48" i="13" l="1"/>
  <c r="L49" i="13" s="1"/>
  <c r="G123" i="13"/>
  <c r="H114" i="13"/>
  <c r="H122" i="13" l="1"/>
  <c r="H130" i="13" s="1"/>
  <c r="H132" i="13" s="1"/>
  <c r="H42" i="13" s="1"/>
  <c r="H44" i="13" s="1"/>
  <c r="H45" i="13" s="1"/>
  <c r="H46" i="13" l="1"/>
  <c r="H82" i="13" l="1"/>
  <c r="H93" i="13" s="1"/>
  <c r="H162" i="13" s="1"/>
  <c r="H107" i="13"/>
  <c r="H106" i="13"/>
  <c r="H72" i="13" l="1"/>
  <c r="H73" i="13" s="1"/>
  <c r="H74" i="13" s="1"/>
  <c r="H111" i="13"/>
  <c r="H113" i="13" l="1"/>
  <c r="H115" i="13" s="1"/>
  <c r="H123" i="13" s="1"/>
  <c r="I122" i="13" s="1"/>
  <c r="I130" i="13" s="1"/>
  <c r="I132" i="13" s="1"/>
  <c r="I42" i="13" s="1"/>
  <c r="I44" i="13" s="1"/>
  <c r="I45" i="13" s="1"/>
  <c r="H164" i="13"/>
  <c r="I114" i="13" l="1"/>
  <c r="I46" i="13"/>
  <c r="I82" i="13" s="1"/>
  <c r="I93" i="13" s="1"/>
  <c r="I162" i="13" s="1"/>
  <c r="H56" i="13"/>
  <c r="H61" i="13" s="1"/>
  <c r="I107" i="13" l="1"/>
  <c r="I106" i="13"/>
  <c r="H76" i="13"/>
  <c r="H3" i="13" s="1"/>
  <c r="I72" i="13" l="1"/>
  <c r="I73" i="13" s="1"/>
  <c r="I111" i="13"/>
  <c r="I164" i="13" s="1"/>
  <c r="I113" i="13" l="1"/>
  <c r="I115" i="13" s="1"/>
  <c r="I123" i="13" s="1"/>
  <c r="J122" i="13" s="1"/>
  <c r="J130" i="13" s="1"/>
  <c r="J132" i="13" s="1"/>
  <c r="J42" i="13" s="1"/>
  <c r="J44" i="13" s="1"/>
  <c r="J45" i="13" s="1"/>
  <c r="I56" i="13" l="1"/>
  <c r="I61" i="13" s="1"/>
  <c r="J114" i="13"/>
  <c r="J46" i="13"/>
  <c r="J107" i="13" s="1"/>
  <c r="J106" i="13" l="1"/>
  <c r="J111" i="13" s="1"/>
  <c r="J164" i="13" s="1"/>
  <c r="J82" i="13"/>
  <c r="J93" i="13" s="1"/>
  <c r="J162" i="13" s="1"/>
  <c r="I74" i="13"/>
  <c r="I76" i="13" s="1"/>
  <c r="I3" i="13" s="1"/>
  <c r="J72" i="13" l="1"/>
  <c r="J73" i="13" s="1"/>
  <c r="J113" i="13"/>
  <c r="J115" i="13" s="1"/>
  <c r="J123" i="13" s="1"/>
  <c r="K122" i="13" s="1"/>
  <c r="K130" i="13" s="1"/>
  <c r="K132" i="13" s="1"/>
  <c r="K42" i="13" s="1"/>
  <c r="K44" i="13" s="1"/>
  <c r="K114" i="13" l="1"/>
  <c r="K45" i="13"/>
  <c r="K46" i="13" s="1"/>
  <c r="K82" i="13" s="1"/>
  <c r="K93" i="13" s="1"/>
  <c r="K162" i="13" s="1"/>
  <c r="J56" i="13"/>
  <c r="J61" i="13" s="1"/>
  <c r="K107" i="13" l="1"/>
  <c r="K106" i="13"/>
  <c r="J74" i="13"/>
  <c r="J76" i="13" s="1"/>
  <c r="J3" i="13" s="1"/>
  <c r="K111" i="13" l="1"/>
  <c r="K72" i="13"/>
  <c r="K73" i="13" s="1"/>
  <c r="K113" i="13" l="1"/>
  <c r="K115" i="13" s="1"/>
  <c r="K123" i="13" s="1"/>
  <c r="L122" i="13" s="1"/>
  <c r="L130" i="13" s="1"/>
  <c r="L132" i="13" s="1"/>
  <c r="L42" i="13" s="1"/>
  <c r="L44" i="13" s="1"/>
  <c r="L45" i="13" s="1"/>
  <c r="L46" i="13" s="1"/>
  <c r="L106" i="13" s="1"/>
  <c r="K164" i="13"/>
  <c r="K56" i="13" l="1"/>
  <c r="K61" i="13" s="1"/>
  <c r="L114" i="13"/>
  <c r="L82" i="13"/>
  <c r="L93" i="13" s="1"/>
  <c r="L162" i="13" s="1"/>
  <c r="L107" i="13"/>
  <c r="L72" i="13" l="1"/>
  <c r="L73" i="13" s="1"/>
  <c r="L74" i="13" s="1"/>
  <c r="K74" i="13"/>
  <c r="K76" i="13" s="1"/>
  <c r="K3" i="13" s="1"/>
  <c r="L111" i="13"/>
  <c r="L113" i="13" l="1"/>
  <c r="L115" i="13" s="1"/>
  <c r="L56" i="13" s="1"/>
  <c r="L61" i="13" s="1"/>
  <c r="L76" i="13" s="1"/>
  <c r="L3" i="13" s="1"/>
  <c r="L164" i="13"/>
  <c r="L123" i="13" l="1"/>
</calcChain>
</file>

<file path=xl/sharedStrings.xml><?xml version="1.0" encoding="utf-8"?>
<sst xmlns="http://schemas.openxmlformats.org/spreadsheetml/2006/main" count="746" uniqueCount="329">
  <si>
    <t>Jan 26, 2025</t>
  </si>
  <si>
    <t>Jan 28, 2024</t>
  </si>
  <si>
    <t>Jan 29, 2023</t>
  </si>
  <si>
    <t>Jan 30, 2022</t>
  </si>
  <si>
    <t>Jan 31, 2021</t>
  </si>
  <si>
    <t>Revenue</t>
  </si>
  <si>
    <t>Cost of revenue</t>
  </si>
  <si>
    <t>Gross profit</t>
  </si>
  <si>
    <t>Operating expenses:</t>
  </si>
  <si>
    <t>Research and development</t>
  </si>
  <si>
    <t>Sales, general and administrative</t>
  </si>
  <si>
    <t>Acquisition termination cost</t>
  </si>
  <si>
    <t>—</t>
  </si>
  <si>
    <t>Total operating expenses</t>
  </si>
  <si>
    <t>Operating income / Income from operations</t>
  </si>
  <si>
    <t>Interest income</t>
  </si>
  <si>
    <t>Interest expense</t>
  </si>
  <si>
    <t>Other, net</t>
  </si>
  <si>
    <t>Other income (expense), net</t>
  </si>
  <si>
    <t>Income before income tax</t>
  </si>
  <si>
    <t>Income tax expense (benefit)</t>
  </si>
  <si>
    <t>Net income</t>
  </si>
  <si>
    <t>Net income per share:</t>
  </si>
  <si>
    <t>Basic</t>
  </si>
  <si>
    <t>Diluted</t>
  </si>
  <si>
    <t>Weighted average shares used in per share computation:</t>
  </si>
  <si>
    <t>Years ended</t>
  </si>
  <si>
    <t>ASSETS</t>
  </si>
  <si>
    <t>Current assets:</t>
  </si>
  <si>
    <t>Cash and cash equivalents</t>
  </si>
  <si>
    <t>Marketable securities</t>
  </si>
  <si>
    <t>Accounts receivable, net</t>
  </si>
  <si>
    <t>Inventories</t>
  </si>
  <si>
    <t>Prepaid expenses and other current assets</t>
  </si>
  <si>
    <t>Total current assets</t>
  </si>
  <si>
    <t>Property and equipment, net</t>
  </si>
  <si>
    <t>Operating lease assets</t>
  </si>
  <si>
    <t>Goodwill</t>
  </si>
  <si>
    <t>Intangible assets, net</t>
  </si>
  <si>
    <t>Deferred income tax assets</t>
  </si>
  <si>
    <t>Other assets</t>
  </si>
  <si>
    <t>Total assets</t>
  </si>
  <si>
    <t>LIABILITIES AND SHAREHOLDERS' EQUITY</t>
  </si>
  <si>
    <t>Current liabilities:</t>
  </si>
  <si>
    <t>Accounts payable</t>
  </si>
  <si>
    <t>Accrued and other current liabilities</t>
  </si>
  <si>
    <t>Short-term debt</t>
  </si>
  <si>
    <t>Total current liabilities</t>
  </si>
  <si>
    <t>Long-term debt</t>
  </si>
  <si>
    <t>Long-term operating lease liabilities</t>
  </si>
  <si>
    <t>Other long-term liabilities</t>
  </si>
  <si>
    <t>Total liabilities</t>
  </si>
  <si>
    <t>Shareholders' equity:</t>
  </si>
  <si>
    <t>Preferred stock, $0.001 par value; authorized, none issued</t>
  </si>
  <si>
    <t>Common stock, $0.001 par value</t>
  </si>
  <si>
    <t>Additional paid-in capital</t>
  </si>
  <si>
    <t>Accumulated other comprehensive income (loss)</t>
  </si>
  <si>
    <t>Retained earnings</t>
  </si>
  <si>
    <t>Total shareholders' equity</t>
  </si>
  <si>
    <t>Total liabilities and shareholders' equity</t>
  </si>
  <si>
    <t>Cash flows from operating activities:</t>
  </si>
  <si>
    <t>Stock‑based compensation expense</t>
  </si>
  <si>
    <t>Depreciation and amortization</t>
  </si>
  <si>
    <t>Deferred income taxes</t>
  </si>
  <si>
    <t>(Gains) losses on non‑marketable equity securities and publicly‑held equity securities, net</t>
  </si>
  <si>
    <t>Other</t>
  </si>
  <si>
    <t>Changes in operating assets and liabilities, net of acquisitions:</t>
  </si>
  <si>
    <t>Accounts receivable</t>
  </si>
  <si>
    <t>Prepaid expenses and other assets</t>
  </si>
  <si>
    <t>Other long‑term liabilities</t>
  </si>
  <si>
    <t>Net cash provided by operating activities</t>
  </si>
  <si>
    <t>Cash flows from investing activities:</t>
  </si>
  <si>
    <t>Proceeds from maturities of marketable securities</t>
  </si>
  <si>
    <t>Proceeds from sales of marketable securities</t>
  </si>
  <si>
    <t>Proceeds from sales of non‑marketable equity securities</t>
  </si>
  <si>
    <t>Purchases of marketable securities</t>
  </si>
  <si>
    <t>Purchases related to property and equipment and intangible assets</t>
  </si>
  <si>
    <t>Purchases of non‑marketable equity securities</t>
  </si>
  <si>
    <t>Acquisitions, net of cash acquired</t>
  </si>
  <si>
    <t>Net cash provided by (used in) investing activities</t>
  </si>
  <si>
    <t>Cash flows from financing activities:</t>
  </si>
  <si>
    <t>Proceeds related to employee stock plans</t>
  </si>
  <si>
    <t>Payments related to repurchases of common stock</t>
  </si>
  <si>
    <t>Payments related to tax on restricted stock units</t>
  </si>
  <si>
    <t>Repayment of debt</t>
  </si>
  <si>
    <t>Dividends paid</t>
  </si>
  <si>
    <t>Net cash used in financing activities</t>
  </si>
  <si>
    <t>Change in cash and cash equivalents</t>
  </si>
  <si>
    <t>Cash and cash equivalents at beginning of period</t>
  </si>
  <si>
    <t>Cash and cash equivalents at end of period</t>
  </si>
  <si>
    <t>Supplemental disclosures of cash flow information:</t>
  </si>
  <si>
    <t>Cash paid for income taxes, net</t>
  </si>
  <si>
    <t>Cash paid for interest</t>
  </si>
  <si>
    <t>Income Statement</t>
  </si>
  <si>
    <t>Net Revenue</t>
  </si>
  <si>
    <t>Cost of Revenue</t>
  </si>
  <si>
    <t>Gross Profit</t>
  </si>
  <si>
    <t>Total Operating Expenses</t>
  </si>
  <si>
    <t>EBIT (Operating Income)</t>
  </si>
  <si>
    <t>EBT (Income Before Tax)</t>
  </si>
  <si>
    <t>Income Tax Expense</t>
  </si>
  <si>
    <t>Net Income</t>
  </si>
  <si>
    <t>Assets</t>
  </si>
  <si>
    <t>Accounts Receivable</t>
  </si>
  <si>
    <t>Inventory</t>
  </si>
  <si>
    <t>Total Assets</t>
  </si>
  <si>
    <t>Retained Earnings</t>
  </si>
  <si>
    <t>Liabilities</t>
  </si>
  <si>
    <t>Accounts Payable</t>
  </si>
  <si>
    <t>Cash Flow Statement</t>
  </si>
  <si>
    <t>Other Investing Activities</t>
  </si>
  <si>
    <t>Dividends Paid</t>
  </si>
  <si>
    <t>SG&amp;A</t>
  </si>
  <si>
    <t>Balance Sheet</t>
  </si>
  <si>
    <t>Depreciation &amp; Amortization</t>
  </si>
  <si>
    <t>Other Non-Cash Items</t>
  </si>
  <si>
    <t>Change in Accounts Receivable</t>
  </si>
  <si>
    <t>Change in Inventory</t>
  </si>
  <si>
    <t>Change in Accounts Payable</t>
  </si>
  <si>
    <t>Statement</t>
  </si>
  <si>
    <t>Research &amp; Development</t>
  </si>
  <si>
    <t>Other Operating Expenses</t>
  </si>
  <si>
    <t>R&amp;D + SG&amp;A + Other OpEx</t>
  </si>
  <si>
    <t>Cash Flow</t>
  </si>
  <si>
    <t>Treasury Stock</t>
  </si>
  <si>
    <t>Issuance of debt, net issuance costs</t>
  </si>
  <si>
    <t>Jan 26, 2020</t>
  </si>
  <si>
    <t xml:space="preserve">Principal payments on property and equipment and intangible assets </t>
  </si>
  <si>
    <t>EBITDA</t>
  </si>
  <si>
    <t>Total Liabilities</t>
  </si>
  <si>
    <t>Check</t>
  </si>
  <si>
    <t>Other Operating Expenses (Acquisition termination cost )</t>
  </si>
  <si>
    <t>Historical Results</t>
  </si>
  <si>
    <t>Forecast Period</t>
  </si>
  <si>
    <t>Balance Sheet Check</t>
  </si>
  <si>
    <t>Assumptions</t>
  </si>
  <si>
    <t>Key Assumptions</t>
  </si>
  <si>
    <t>Revenue Growth (% Change)</t>
  </si>
  <si>
    <t>Accounts Receivable (Days)</t>
  </si>
  <si>
    <t>Inventory (Days)</t>
  </si>
  <si>
    <t>Accounts Payable (Days)</t>
  </si>
  <si>
    <t>Days in Period</t>
  </si>
  <si>
    <t>Interest Expense</t>
  </si>
  <si>
    <t>SG&amp;A (% of Revenue)</t>
  </si>
  <si>
    <t>Research and Development (% of Revenue)</t>
  </si>
  <si>
    <t xml:space="preserve">Debt Issuance (Repayment) </t>
  </si>
  <si>
    <t>EBIT + D&amp;A</t>
  </si>
  <si>
    <t>Line Item</t>
  </si>
  <si>
    <t>Cash</t>
  </si>
  <si>
    <t>Property &amp; Equipment</t>
  </si>
  <si>
    <t>Debt</t>
  </si>
  <si>
    <t>Shareholder's Equity</t>
  </si>
  <si>
    <t>Equity Capital</t>
  </si>
  <si>
    <t>Total Liabilities &amp; Shareholder's Equity</t>
  </si>
  <si>
    <t>Other Assets</t>
  </si>
  <si>
    <t>Other Liabilities</t>
  </si>
  <si>
    <t>Operating Cash Flow</t>
  </si>
  <si>
    <t>Cash from Operations</t>
  </si>
  <si>
    <t>Investing Cash Flow</t>
  </si>
  <si>
    <t>Cash from Investing</t>
  </si>
  <si>
    <t>Financing Cash Flow</t>
  </si>
  <si>
    <t>Cash from Financing</t>
  </si>
  <si>
    <t>Net Increase (decrease) in Cash</t>
  </si>
  <si>
    <t>Opening Cash Balance</t>
  </si>
  <si>
    <t>Closing Cash Balance</t>
  </si>
  <si>
    <t>Model Helper (Cross - Statement) D&amp;A (from CF)</t>
  </si>
  <si>
    <t>Capex</t>
  </si>
  <si>
    <t>Gross Margin (%)</t>
  </si>
  <si>
    <t>Effective Tax Rate (%)</t>
  </si>
  <si>
    <t>Interest on Cash (%)</t>
  </si>
  <si>
    <t>Interest on Debt (%)</t>
  </si>
  <si>
    <t>Dividend Payout Ratio</t>
  </si>
  <si>
    <t>Accrued Liabilities</t>
  </si>
  <si>
    <t>Other/One-off Opex</t>
  </si>
  <si>
    <t>Capex (% of Revenue)</t>
  </si>
  <si>
    <t>D&amp;A (% of PPE)</t>
  </si>
  <si>
    <t>Stock-Based Comp % Revenue</t>
  </si>
  <si>
    <t>Accured Liability (% of Opex)</t>
  </si>
  <si>
    <t>Interest (Net)</t>
  </si>
  <si>
    <t>Stock Based Compensation</t>
  </si>
  <si>
    <t>Deferred Income Taxes</t>
  </si>
  <si>
    <t>Change in Other Current Assets</t>
  </si>
  <si>
    <t>Change in Accrued Liabilities</t>
  </si>
  <si>
    <t>Change in Other Long Term Liabilities</t>
  </si>
  <si>
    <t>Purchases of Marketable Securities</t>
  </si>
  <si>
    <t>Proceeds from Sales / Maturities of Marketable Securities</t>
  </si>
  <si>
    <t>Acquisitions (Net of Cash Acquired)</t>
  </si>
  <si>
    <t>Issuance of debt</t>
  </si>
  <si>
    <t>Repayment of Debt</t>
  </si>
  <si>
    <t>Share Purchases</t>
  </si>
  <si>
    <t>Employee Stock Plan Proceeds</t>
  </si>
  <si>
    <t>Taxes Paid on RSUs</t>
  </si>
  <si>
    <t>Other Financing Activities</t>
  </si>
  <si>
    <t>Revenue_(t-1) * (1 + Revenue Growth)</t>
  </si>
  <si>
    <t>Revenue * (1 - Gross Margin)</t>
  </si>
  <si>
    <t>Net Revenue - Cost of Revenue</t>
  </si>
  <si>
    <t>Revenue * R&amp;D % of Revenue</t>
  </si>
  <si>
    <t>Revenue * SG&amp;A % of Revenue</t>
  </si>
  <si>
    <t>Gross Profit - Total Operating Expenses</t>
  </si>
  <si>
    <t>Interest Income - Interest Expense</t>
  </si>
  <si>
    <t>EBIT + Interest (Net)</t>
  </si>
  <si>
    <t>EBT * Effective Tax Rate</t>
  </si>
  <si>
    <t>EBT - Income Tax Expense</t>
  </si>
  <si>
    <t>D&amp;A (Model Helper)</t>
  </si>
  <si>
    <t>From Cash Flow: Depreciation &amp; Amortization</t>
  </si>
  <si>
    <t>Opening Cash + Net Change in Cash (CF)</t>
  </si>
  <si>
    <t>Revenue / Days in Period * AR Days</t>
  </si>
  <si>
    <t>Cost of Revenue / Days in Period * Inventory Days</t>
  </si>
  <si>
    <t>PPE_(t-1) + Capex - D&amp;A</t>
  </si>
  <si>
    <t>Other Current Assets + Goodwill &amp; Intangibles + Deferred Tax Assets</t>
  </si>
  <si>
    <t>Sum of all Assets</t>
  </si>
  <si>
    <t>Cost of Revenue / Days in Period * AP Days</t>
  </si>
  <si>
    <t>Debt_(t-1) + Issuance - Repayment</t>
  </si>
  <si>
    <t>Total Operating Expenses * Accrued Liability % of Opex</t>
  </si>
  <si>
    <t>Residual / flat assumption (includes other LT liabilities)</t>
  </si>
  <si>
    <t>Sum of all Liabilities</t>
  </si>
  <si>
    <t>Flat / historical (no new issuance assumed)</t>
  </si>
  <si>
    <t>RE_(t-1) + Net Income - Dividends</t>
  </si>
  <si>
    <t>Equity Capital + Retained Earnings</t>
  </si>
  <si>
    <t>Total Liabilities + Shareholder's Equity</t>
  </si>
  <si>
    <t>Total Assets - (Total Liabilities &amp; Shareholder's Equity)</t>
  </si>
  <si>
    <t>From Income Statement</t>
  </si>
  <si>
    <t>PPE_(t-1) * D&amp;A % of PPE</t>
  </si>
  <si>
    <t>Revenue * SBC % of Revenue</t>
  </si>
  <si>
    <t>Assumption or flat / historical average</t>
  </si>
  <si>
    <t>AR_(t-1) - AR_t</t>
  </si>
  <si>
    <t>Inventory_(t-1) - Inventory_t</t>
  </si>
  <si>
    <t>OCA_(t-1) - OCA_t</t>
  </si>
  <si>
    <t>AP_t - AP_(t-1)</t>
  </si>
  <si>
    <t>Accrued_t - Accrued_(t-1)</t>
  </si>
  <si>
    <t>OLT_Liab_t - OLT_Liab_(t-1)</t>
  </si>
  <si>
    <t>Sum of all Operating CF lines</t>
  </si>
  <si>
    <t>Revenue * Capex % of Revenue (negative)</t>
  </si>
  <si>
    <t>Assumption / policy based</t>
  </si>
  <si>
    <t>Assumption (usually 0)</t>
  </si>
  <si>
    <t>Residual / assumption</t>
  </si>
  <si>
    <t>Sum of Investing CF lines</t>
  </si>
  <si>
    <t>Issuance of Debt</t>
  </si>
  <si>
    <t>Debt Issuance assumption</t>
  </si>
  <si>
    <t>Debt Repayment assumption</t>
  </si>
  <si>
    <t>Net Income * Buyback % (negative)</t>
  </si>
  <si>
    <t>Net Income * Dividend Payout Ratio (negative)</t>
  </si>
  <si>
    <t>Assumption or % of SBC</t>
  </si>
  <si>
    <t>Assumption or % of SBC (negative)</t>
  </si>
  <si>
    <t>Sum of Financing CF lines</t>
  </si>
  <si>
    <t>Net Increase (Decrease) in Cash</t>
  </si>
  <si>
    <t>Cash from Operations + Investing + Financing</t>
  </si>
  <si>
    <t>Prior period Closing Cash</t>
  </si>
  <si>
    <t>Opening Cash + Net Change in Cash</t>
  </si>
  <si>
    <t>Driver &amp; Calculation</t>
  </si>
  <si>
    <t>Other Income (Net)</t>
  </si>
  <si>
    <t>Operating income / income from operations</t>
  </si>
  <si>
    <t>Common stock</t>
  </si>
  <si>
    <t>Treasury stock</t>
  </si>
  <si>
    <t>Stock-based compensation expense</t>
  </si>
  <si>
    <t>Gains (losses) on equity securities, net</t>
  </si>
  <si>
    <t>Proceeds from sales of non-marketable equity securities</t>
  </si>
  <si>
    <t>Purchases of non-marketable equity securities</t>
  </si>
  <si>
    <t>Principal payments on property and equipment and intangible assets</t>
  </si>
  <si>
    <t>Raw Statement</t>
  </si>
  <si>
    <t>Raw Line Item</t>
  </si>
  <si>
    <t>Model Statement</t>
  </si>
  <si>
    <t>Model Line Item</t>
  </si>
  <si>
    <t>Assumption Item</t>
  </si>
  <si>
    <t>Other / One-off Opex</t>
  </si>
  <si>
    <t>Stock-Based Comp (% of Revenue)</t>
  </si>
  <si>
    <t>Other Current Assets (% of Revenue)</t>
  </si>
  <si>
    <t>Debt Issuance (Repayment)</t>
  </si>
  <si>
    <t>SG&amp;A % = SG&amp;A / Revenue → SG&amp;A_t = Revenue_t * SG&amp;A %</t>
  </si>
  <si>
    <t>R&amp;D % = R&amp;D / Revenue → R&amp;D_t = Revenue_t * R&amp;D %</t>
  </si>
  <si>
    <t>AR Days = Accounts Receivable / Revenue * Days → Accounts Receivable_t = Revenue_t / Days in Period * AR Days</t>
  </si>
  <si>
    <t>Capex % = Capex / Revenue → Capex_t = Revenue_t * Capex %</t>
  </si>
  <si>
    <t>D&amp;A % = Depreciation / PPE → Depreciation_t = PPE_(t-1) * D&amp;A %</t>
  </si>
  <si>
    <t>SBC % = SBC / Revenue → SBC_t = Revenue_t * SBC %</t>
  </si>
  <si>
    <t>Direct cash flow input: positive = issuance, negative = repayment</t>
  </si>
  <si>
    <t>Interest Income</t>
  </si>
  <si>
    <t>Definition and Correct Application in This Model</t>
  </si>
  <si>
    <t>Revenue_t = Revenue_(t-1) * (1 + Revenue Growth)</t>
  </si>
  <si>
    <t>Gross Margin = Gross Profit / Revenue → Gross Profit_t = Revenue_t * Gross Margin; Cost of Revenue_t = Revenue_t - Gross Profit_t</t>
  </si>
  <si>
    <t>Direct input for non-recurring operating expenses</t>
  </si>
  <si>
    <t>Inventory Days = Inventory / Cost of Revenue * Days → Inventory_t = Cost of Revenue_t / Days in Period * Inventory Days</t>
  </si>
  <si>
    <t>AP Days = Accounts Payable / Cost of Revenue * Days → Accounts Payable_t = Cost of Revenue_t / Days in Period * AP Days</t>
  </si>
  <si>
    <t>ETR = Income Tax / EBT → Income Tax_t = EBT_t * Effective Tax Rate</t>
  </si>
  <si>
    <t>Interest Income_t = Average Cash_t * Interest on Cash %</t>
  </si>
  <si>
    <t>Interest Expense_t = Average Debt_t * Interest on Debt %</t>
  </si>
  <si>
    <t>Payout Ratio = Dividends / Net Income → Dividends Paid_t = Net Income_t * Payout Ratio</t>
  </si>
  <si>
    <t>Other Current Assets_t = Revenue_t * Other Current Assets %</t>
  </si>
  <si>
    <t>Accrued Liabilities (% of Opex)</t>
  </si>
  <si>
    <t>Accrued % = Accrued Liabilities / Opex → Accrued Liabilities_t = Total Opex_t * Accrued %</t>
  </si>
  <si>
    <t>Number of days used in working capital calculations (365 for annual model)</t>
  </si>
  <si>
    <t>Supporting Schedules/Numbers</t>
  </si>
  <si>
    <t>Cash&amp;Interest</t>
  </si>
  <si>
    <t>Opening Balance</t>
  </si>
  <si>
    <t>Closing Balance</t>
  </si>
  <si>
    <t>Debt&amp;Interest</t>
  </si>
  <si>
    <t>Opening Debt Balance</t>
  </si>
  <si>
    <t>Closing Debt Balance</t>
  </si>
  <si>
    <t>Interest Bridge</t>
  </si>
  <si>
    <t>PPE Roll-Forward</t>
  </si>
  <si>
    <t>Opening PPE</t>
  </si>
  <si>
    <t>D&amp;A</t>
  </si>
  <si>
    <t>Closing PPE</t>
  </si>
  <si>
    <t>Debt Movement Check</t>
  </si>
  <si>
    <t>Net Debt Issuance (Repayment)</t>
  </si>
  <si>
    <t>Working Capital</t>
  </si>
  <si>
    <t>Other Current Assets</t>
  </si>
  <si>
    <t>Accured Liabilities</t>
  </si>
  <si>
    <t>Net Working Capital</t>
  </si>
  <si>
    <t>Change in Net Working Capital</t>
  </si>
  <si>
    <t>Other Long Term Liabilities</t>
  </si>
  <si>
    <t>Share Purchases (Buybacks)</t>
  </si>
  <si>
    <t>Buyback Ratio (% of Net Income)</t>
  </si>
  <si>
    <t>Introduction &amp; Information</t>
  </si>
  <si>
    <t xml:space="preserve">If you`d like to discuss the model or have any questions about assumptions &amp; formulas, please contact me </t>
  </si>
  <si>
    <t>Enjoy Exploring!</t>
  </si>
  <si>
    <t>Best Regards,</t>
  </si>
  <si>
    <t>Berk Tansuker</t>
  </si>
  <si>
    <t xml:space="preserve">Github </t>
  </si>
  <si>
    <t>LinkedIn</t>
  </si>
  <si>
    <t>E-Mail</t>
  </si>
  <si>
    <t>Purpose of creating this model is purely for personal development &amp; practice &amp; curiosity - All forecasted numbers are based on personal analysis &amp; opinion</t>
  </si>
  <si>
    <t>MODEL AND FINANCIAL DATA DO NOT CONTAIN ANY SENSITIVE DATA &amp; ANY FINANCIAL ADVICE</t>
  </si>
  <si>
    <t>All previous financial data were taked from Nvidia Annual Reports (Income Statement &amp; Balance Sheet &amp; Cash Flow) - All publicly available</t>
  </si>
  <si>
    <t xml:space="preserve">Please do not publish the model anywhere. But if you are interested in using or developing the model for your personal development &amp; curiosity, feel free </t>
  </si>
  <si>
    <t>Debt Roll-Forward Check (Forecast)</t>
  </si>
  <si>
    <t>Charts and Graphs</t>
  </si>
  <si>
    <t>Gross Profit Margin (%)</t>
  </si>
  <si>
    <t xml:space="preserve">Normalized non-cash items </t>
  </si>
  <si>
    <t xml:space="preserve">Assumption: Other / One-off Opex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</si>
</sst>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(#,##0\)_-;_-* &quot;-&quot;_-;_-@"/>
    <numFmt numFmtId="165" formatCode="0.0%"/>
  </numFmts>
  <fonts count="18" x14ac:knownFonts="1"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sz val="13"/>
      <color theme="0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1"/>
      <name val="Arial Narrow"/>
      <family val="2"/>
    </font>
    <font>
      <b/>
      <sz val="50"/>
      <color theme="0"/>
      <name val="Arial"/>
      <family val="2"/>
    </font>
    <font>
      <u/>
      <sz val="10"/>
      <color theme="10"/>
      <name val="Arial"/>
      <family val="2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5"/>
      <color theme="0"/>
      <name val="Arial"/>
      <family val="2"/>
    </font>
    <font>
      <b/>
      <u/>
      <sz val="15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4" fillId="2" borderId="0" xfId="0" applyFont="1" applyFill="1"/>
    <xf numFmtId="0" fontId="5" fillId="5" borderId="0" xfId="0" applyFont="1" applyFill="1"/>
    <xf numFmtId="0" fontId="6" fillId="2" borderId="0" xfId="0" applyFont="1" applyFill="1"/>
    <xf numFmtId="0" fontId="7" fillId="6" borderId="0" xfId="0" applyFont="1" applyFill="1"/>
    <xf numFmtId="0" fontId="5" fillId="6" borderId="0" xfId="0" applyFont="1" applyFill="1"/>
    <xf numFmtId="0" fontId="6" fillId="2" borderId="2" xfId="0" applyFont="1" applyFill="1" applyBorder="1"/>
    <xf numFmtId="0" fontId="0" fillId="2" borderId="2" xfId="0" applyFill="1" applyBorder="1"/>
    <xf numFmtId="3" fontId="0" fillId="2" borderId="0" xfId="0" applyNumberFormat="1" applyFill="1"/>
    <xf numFmtId="3" fontId="9" fillId="2" borderId="0" xfId="0" applyNumberFormat="1" applyFont="1" applyFill="1"/>
    <xf numFmtId="0" fontId="9" fillId="2" borderId="0" xfId="0" applyFont="1" applyFill="1"/>
    <xf numFmtId="3" fontId="9" fillId="2" borderId="2" xfId="0" applyNumberFormat="1" applyFont="1" applyFill="1" applyBorder="1"/>
    <xf numFmtId="9" fontId="0" fillId="2" borderId="0" xfId="1" applyFont="1" applyFill="1"/>
    <xf numFmtId="165" fontId="0" fillId="2" borderId="0" xfId="1" applyNumberFormat="1" applyFont="1" applyFill="1"/>
    <xf numFmtId="3" fontId="0" fillId="2" borderId="2" xfId="0" applyNumberFormat="1" applyFill="1" applyBorder="1"/>
    <xf numFmtId="3" fontId="0" fillId="7" borderId="0" xfId="0" applyNumberFormat="1" applyFill="1"/>
    <xf numFmtId="3" fontId="0" fillId="7" borderId="2" xfId="0" applyNumberFormat="1" applyFill="1" applyBorder="1"/>
    <xf numFmtId="10" fontId="0" fillId="2" borderId="0" xfId="1" applyNumberFormat="1" applyFont="1" applyFill="1"/>
    <xf numFmtId="164" fontId="11" fillId="0" borderId="0" xfId="0" applyNumberFormat="1" applyFont="1" applyAlignment="1">
      <alignment horizontal="right"/>
    </xf>
    <xf numFmtId="0" fontId="12" fillId="4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4" borderId="0" xfId="0" applyFont="1" applyFill="1"/>
    <xf numFmtId="0" fontId="10" fillId="4" borderId="0" xfId="0" applyFont="1" applyFill="1"/>
    <xf numFmtId="0" fontId="17" fillId="2" borderId="0" xfId="2" applyFont="1" applyFill="1"/>
    <xf numFmtId="0" fontId="5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9" fontId="0" fillId="2" borderId="0" xfId="1" applyNumberFormat="1" applyFont="1" applyFill="1"/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GB" sz="110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&amp; Gross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 &amp; Forecast'!$A$159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Model &amp; Forecast'!$C$157:$L$157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'Financial Model &amp; Forecast'!$C$159:$L$159</c:f>
              <c:numCache>
                <c:formatCode>#,##0</c:formatCode>
                <c:ptCount val="10"/>
                <c:pt idx="0">
                  <c:v>16675</c:v>
                </c:pt>
                <c:pt idx="1">
                  <c:v>26914</c:v>
                </c:pt>
                <c:pt idx="2">
                  <c:v>26974</c:v>
                </c:pt>
                <c:pt idx="3">
                  <c:v>60922</c:v>
                </c:pt>
                <c:pt idx="4">
                  <c:v>130497</c:v>
                </c:pt>
                <c:pt idx="5">
                  <c:v>208795.2</c:v>
                </c:pt>
                <c:pt idx="6">
                  <c:v>271433.76</c:v>
                </c:pt>
                <c:pt idx="7">
                  <c:v>320291.83679999999</c:v>
                </c:pt>
                <c:pt idx="8">
                  <c:v>358726.85721600003</c:v>
                </c:pt>
                <c:pt idx="9">
                  <c:v>394599.54293760005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1-4316-A331-774103F3E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807608256"/>
        <c:axId val="807610656"/>
      </c:barChart>
      <c:lineChart>
        <c:grouping val="standard"/>
        <c:varyColors val="0"/>
        <c:ser>
          <c:idx val="1"/>
          <c:order val="1"/>
          <c:tx>
            <c:strRef>
              <c:f>'Financial Model &amp; Forecast'!$A$160</c:f>
              <c:strCache>
                <c:ptCount val="1"/>
                <c:pt idx="0">
                  <c:v>Gross Profit Margin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'Financial Model &amp; Forecast'!$C$160:$L$160</c:f>
              <c:numCache>
                <c:formatCode>0%</c:formatCode>
                <c:ptCount val="10"/>
                <c:pt idx="0">
                  <c:v>0.62344827586206897</c:v>
                </c:pt>
                <c:pt idx="1">
                  <c:v>0.64929033216913135</c:v>
                </c:pt>
                <c:pt idx="2">
                  <c:v>0.56928894490991322</c:v>
                </c:pt>
                <c:pt idx="3">
                  <c:v>0.72717573290436954</c:v>
                </c:pt>
                <c:pt idx="4">
                  <c:v>0.74988697058169917</c:v>
                </c:pt>
                <c:pt idx="5">
                  <c:v>0.74</c:v>
                </c:pt>
                <c:pt idx="6">
                  <c:v>0.71999999999999986</c:v>
                </c:pt>
                <c:pt idx="7">
                  <c:v>0.70000000000000007</c:v>
                </c:pt>
                <c:pt idx="8">
                  <c:v>0.68</c:v>
                </c:pt>
                <c:pt idx="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71-4316-A331-774103F3E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2951648"/>
        <c:axId val="672954048"/>
      </c:lineChart>
      <c:catAx>
        <c:axId val="8076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807610656"/>
        <c:crosses val="autoZero"/>
        <c:auto val="1"/>
        <c:lblAlgn val="ctr"/>
        <c:lblOffset val="100"/>
        <c:noMultiLvlLbl val="0"/>
      </c:catAx>
      <c:valAx>
        <c:axId val="8076106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807608256"/>
        <c:crosses val="autoZero"/>
        <c:crossBetween val="between"/>
        <c:dispUnits>
          <c:builtInUnit val="thousands"/>
        </c:dispUnits>
      </c:valAx>
      <c:valAx>
        <c:axId val="672954048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72951648"/>
        <c:crosses val="max"/>
        <c:crossBetween val="between"/>
        <c:majorUnit val="0.2"/>
      </c:valAx>
      <c:catAx>
        <c:axId val="672951648"/>
        <c:scaling>
          <c:orientation val="minMax"/>
        </c:scaling>
        <c:delete val="1"/>
        <c:axPos val="b"/>
        <c:majorTickMark val="out"/>
        <c:minorTickMark val="none"/>
        <c:tickLblPos val="nextTo"/>
        <c:crossAx val="672954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10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'Financial Model &amp; Forecast'!$A$162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Model &amp; Forecast'!$C$157:$L$157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'Financial Model &amp; Forecast'!$C$162:$L$162</c:f>
              <c:numCache>
                <c:formatCode>#,##0</c:formatCode>
                <c:ptCount val="10"/>
                <c:pt idx="0">
                  <c:v>5822</c:v>
                </c:pt>
                <c:pt idx="1">
                  <c:v>9108</c:v>
                </c:pt>
                <c:pt idx="2">
                  <c:v>5641</c:v>
                </c:pt>
                <c:pt idx="3">
                  <c:v>28090</c:v>
                </c:pt>
                <c:pt idx="4">
                  <c:v>64089</c:v>
                </c:pt>
                <c:pt idx="5">
                  <c:v>108069.75401150684</c:v>
                </c:pt>
                <c:pt idx="6">
                  <c:v>132618.56711183061</c:v>
                </c:pt>
                <c:pt idx="7">
                  <c:v>144350.55281330258</c:v>
                </c:pt>
                <c:pt idx="8">
                  <c:v>155465.08390777663</c:v>
                </c:pt>
                <c:pt idx="9">
                  <c:v>167409.62709872244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4DF-B580-706CFCAB9C7A}"/>
            </c:ext>
          </c:extLst>
        </c:ser>
        <c:ser>
          <c:idx val="1"/>
          <c:order val="1"/>
          <c:tx>
            <c:strRef>
              <c:f>'Financial Model &amp; Forecast'!$A$163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Model &amp; Forecast'!$C$157:$L$157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'Financial Model &amp; Forecast'!$C$163:$L$163</c:f>
              <c:numCache>
                <c:formatCode>#,##0</c:formatCode>
                <c:ptCount val="10"/>
                <c:pt idx="0">
                  <c:v>-19675</c:v>
                </c:pt>
                <c:pt idx="1">
                  <c:v>-9830</c:v>
                </c:pt>
                <c:pt idx="2">
                  <c:v>7375</c:v>
                </c:pt>
                <c:pt idx="3">
                  <c:v>-10566</c:v>
                </c:pt>
                <c:pt idx="4">
                  <c:v>-20421</c:v>
                </c:pt>
                <c:pt idx="5">
                  <c:v>-35044.732000000004</c:v>
                </c:pt>
                <c:pt idx="6">
                  <c:v>-46920.8704</c:v>
                </c:pt>
                <c:pt idx="7">
                  <c:v>-55132.153071999994</c:v>
                </c:pt>
                <c:pt idx="8">
                  <c:v>-62268.385155072006</c:v>
                </c:pt>
                <c:pt idx="9">
                  <c:v>-69504.922299392012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8-44DF-B580-706CFCAB9C7A}"/>
            </c:ext>
          </c:extLst>
        </c:ser>
        <c:ser>
          <c:idx val="2"/>
          <c:order val="2"/>
          <c:tx>
            <c:strRef>
              <c:f>'Financial Model &amp; Forecast'!$A$164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'Financial Model &amp; Forecast'!$C$164:$L$164</c:f>
              <c:numCache>
                <c:formatCode>#,##0</c:formatCode>
                <c:ptCount val="10"/>
                <c:pt idx="0">
                  <c:v>3804</c:v>
                </c:pt>
                <c:pt idx="1">
                  <c:v>1865</c:v>
                </c:pt>
                <c:pt idx="2">
                  <c:v>-11617</c:v>
                </c:pt>
                <c:pt idx="3">
                  <c:v>-13633</c:v>
                </c:pt>
                <c:pt idx="4">
                  <c:v>-42359</c:v>
                </c:pt>
                <c:pt idx="5">
                  <c:v>-59899.932321600005</c:v>
                </c:pt>
                <c:pt idx="6">
                  <c:v>-70602.733112782036</c:v>
                </c:pt>
                <c:pt idx="7">
                  <c:v>-75689.811935395555</c:v>
                </c:pt>
                <c:pt idx="8">
                  <c:v>-81423.850401600415</c:v>
                </c:pt>
                <c:pt idx="9">
                  <c:v>-84526.058148875891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8-44DF-B580-706CFCAB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8499072"/>
        <c:axId val="688500512"/>
      </c:barChart>
      <c:catAx>
        <c:axId val="68849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8500512"/>
        <c:crossesAt val="-150000"/>
        <c:auto val="1"/>
        <c:lblAlgn val="ctr"/>
        <c:lblOffset val="100"/>
        <c:noMultiLvlLbl val="0"/>
      </c:catAx>
      <c:valAx>
        <c:axId val="68850051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849907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597957</xdr:colOff>
      <xdr:row>166</xdr:row>
      <xdr:rowOff>99484</xdr:rowOff>
    </xdr:from>
    <xdr:to>
      <xdr:col>4</xdr:col>
      <xdr:colOff>121707</xdr:colOff>
      <xdr:row>183</xdr:row>
      <xdr:rowOff>143934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EF1899-0388-9A6F-E2F3-F57516BC7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79374</xdr:colOff>
      <xdr:row>166</xdr:row>
      <xdr:rowOff>99483</xdr:rowOff>
    </xdr:from>
    <xdr:to>
      <xdr:col>12</xdr:col>
      <xdr:colOff>354540</xdr:colOff>
      <xdr:row>183</xdr:row>
      <xdr:rowOff>143933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0C0A05-322C-42C0-CB1E-7B353C92C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rktansuker1998@gmail.com" TargetMode="External"/><Relationship Id="rId2" Type="http://schemas.openxmlformats.org/officeDocument/2006/relationships/hyperlink" Target="https://www.linkedin.com/in/berk-t-958b23168/" TargetMode="External"/><Relationship Id="rId1" Type="http://schemas.openxmlformats.org/officeDocument/2006/relationships/hyperlink" Target="https://github.com/Btansuker9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2F53-3AB3-45FA-A78B-EB8C86A672C2}">
  <sheetPr codeName="Sheet1">
    <tabColor rgb="FF002060"/>
  </sheetPr>
  <dimension ref="A2:D22"/>
  <sheetViews>
    <sheetView workbookViewId="0">
      <selection activeCell="C11" sqref="C11"/>
    </sheetView>
  </sheetViews>
  <sheetFormatPr defaultRowHeight="12.75" x14ac:dyDescent="0.2"/>
  <cols>
    <col min="1" max="1" width="9.140625" style="1"/>
    <col min="2" max="2" width="15" style="1" customWidth="1"/>
    <col min="3" max="3" width="48.85546875" style="1" customWidth="1"/>
    <col min="4" max="4" width="123" style="1" customWidth="1"/>
    <col min="5" max="16384" width="9.140625" style="1"/>
  </cols>
  <sheetData>
    <row r="2" spans="1:4" ht="63" x14ac:dyDescent="0.85">
      <c r="D2" s="29" t="s">
        <v>312</v>
      </c>
    </row>
    <row r="5" spans="1:4" ht="19.5" x14ac:dyDescent="0.3">
      <c r="A5" s="31" t="s">
        <v>322</v>
      </c>
    </row>
    <row r="6" spans="1:4" ht="19.5" x14ac:dyDescent="0.3">
      <c r="A6" s="31"/>
    </row>
    <row r="7" spans="1:4" ht="19.5" x14ac:dyDescent="0.3">
      <c r="A7" s="31" t="s">
        <v>320</v>
      </c>
    </row>
    <row r="8" spans="1:4" ht="19.5" x14ac:dyDescent="0.3">
      <c r="A8" s="31"/>
    </row>
    <row r="9" spans="1:4" ht="19.5" x14ac:dyDescent="0.3">
      <c r="A9" s="31" t="s">
        <v>321</v>
      </c>
    </row>
    <row r="10" spans="1:4" ht="19.5" x14ac:dyDescent="0.3">
      <c r="A10" s="31"/>
    </row>
    <row r="11" spans="1:4" ht="19.5" x14ac:dyDescent="0.3">
      <c r="A11" s="31" t="s">
        <v>323</v>
      </c>
    </row>
    <row r="12" spans="1:4" ht="19.5" x14ac:dyDescent="0.3">
      <c r="A12" s="31"/>
    </row>
    <row r="13" spans="1:4" ht="19.5" x14ac:dyDescent="0.3">
      <c r="A13" s="31" t="s">
        <v>313</v>
      </c>
    </row>
    <row r="14" spans="1:4" ht="19.5" x14ac:dyDescent="0.3">
      <c r="A14" s="31"/>
    </row>
    <row r="15" spans="1:4" ht="19.5" x14ac:dyDescent="0.3">
      <c r="A15" s="32" t="s">
        <v>314</v>
      </c>
      <c r="B15" s="33"/>
    </row>
    <row r="16" spans="1:4" ht="18.75" x14ac:dyDescent="0.25">
      <c r="A16" s="30"/>
    </row>
    <row r="17" spans="1:1" ht="19.5" x14ac:dyDescent="0.3">
      <c r="A17" s="31" t="s">
        <v>315</v>
      </c>
    </row>
    <row r="18" spans="1:1" ht="19.5" x14ac:dyDescent="0.3">
      <c r="A18" s="31" t="s">
        <v>316</v>
      </c>
    </row>
    <row r="19" spans="1:1" x14ac:dyDescent="0.2">
      <c r="A19" s="20"/>
    </row>
    <row r="20" spans="1:1" ht="19.5" x14ac:dyDescent="0.3">
      <c r="A20" s="34" t="s">
        <v>317</v>
      </c>
    </row>
    <row r="21" spans="1:1" ht="19.5" x14ac:dyDescent="0.3">
      <c r="A21" s="34" t="s">
        <v>318</v>
      </c>
    </row>
    <row r="22" spans="1:1" ht="19.5" x14ac:dyDescent="0.3">
      <c r="A22" s="34" t="s">
        <v>319</v>
      </c>
    </row>
  </sheetData>
  <sheetProtection algorithmName="SHA-512" hashValue="qk5Z0MpbAOJayBcRozXnKHSyQAw/hN0iK+BIsf9/VoLUbaIhZZDOtYTnGHGz4hVBUSdp6wJBa1wuh3ptKie3ow==" saltValue="hAKImTvxEa0/8tWb9/i7Mw==" spinCount="100000" sheet="1" objects="1" scenarios="1"/>
  <hyperlinks>
    <hyperlink ref="A20" r:id="rId1" xr:uid="{ECD60402-9F08-4A79-B095-0E3184419A04}"/>
    <hyperlink ref="A21" r:id="rId2" xr:uid="{59F85172-1589-455F-9736-23C3074EEAB4}"/>
    <hyperlink ref="A22" r:id="rId3" xr:uid="{5BDB3D03-E997-4499-A201-A14DBD7D82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5E67-1BC2-4088-ABB5-686E107BD172}">
  <sheetPr codeName="Sheet2">
    <tabColor theme="0" tint="-0.14999847407452621"/>
  </sheetPr>
  <dimension ref="A1:F23"/>
  <sheetViews>
    <sheetView zoomScale="80" zoomScaleNormal="80" workbookViewId="0">
      <pane xSplit="1" ySplit="1" topLeftCell="B2" activePane="bottomRight" state="frozen"/>
      <selection activeCell="C27" sqref="C27"/>
      <selection pane="topRight" activeCell="C27" sqref="C27"/>
      <selection pane="bottomLeft" activeCell="C27" sqref="C27"/>
      <selection pane="bottomRight" activeCell="C15" sqref="C15"/>
    </sheetView>
  </sheetViews>
  <sheetFormatPr defaultColWidth="54.28515625" defaultRowHeight="18.75" customHeight="1" x14ac:dyDescent="0.2"/>
  <cols>
    <col min="1" max="1" width="54.28515625" style="1"/>
    <col min="2" max="2" width="32.140625" style="1" customWidth="1"/>
    <col min="3" max="3" width="28.7109375" style="1" customWidth="1"/>
    <col min="4" max="4" width="26.5703125" style="1" customWidth="1"/>
    <col min="5" max="5" width="25.5703125" style="1" customWidth="1"/>
    <col min="6" max="6" width="23.42578125" style="1" customWidth="1"/>
    <col min="7" max="16384" width="54.28515625" style="1"/>
  </cols>
  <sheetData>
    <row r="1" spans="1:6" ht="18.75" customHeight="1" thickBot="1" x14ac:dyDescent="0.3">
      <c r="A1" s="2" t="s">
        <v>26</v>
      </c>
      <c r="B1" s="8" t="s">
        <v>4</v>
      </c>
      <c r="C1" s="8" t="s">
        <v>3</v>
      </c>
      <c r="D1" s="8" t="s">
        <v>2</v>
      </c>
      <c r="E1" s="8" t="s">
        <v>1</v>
      </c>
      <c r="F1" s="8" t="s">
        <v>0</v>
      </c>
    </row>
    <row r="2" spans="1:6" ht="16.5" customHeight="1" thickBot="1" x14ac:dyDescent="0.3">
      <c r="A2" s="6" t="s">
        <v>5</v>
      </c>
      <c r="B2" s="3">
        <v>16675</v>
      </c>
      <c r="C2" s="3">
        <v>26914</v>
      </c>
      <c r="D2" s="3">
        <v>26974</v>
      </c>
      <c r="E2" s="3">
        <v>60922</v>
      </c>
      <c r="F2" s="3">
        <v>130497</v>
      </c>
    </row>
    <row r="3" spans="1:6" ht="18.75" customHeight="1" thickBot="1" x14ac:dyDescent="0.3">
      <c r="A3" s="6" t="s">
        <v>6</v>
      </c>
      <c r="B3" s="3">
        <v>6279</v>
      </c>
      <c r="C3" s="3">
        <v>9439</v>
      </c>
      <c r="D3" s="3">
        <v>11618</v>
      </c>
      <c r="E3" s="3">
        <v>16621</v>
      </c>
      <c r="F3" s="3">
        <v>32639</v>
      </c>
    </row>
    <row r="4" spans="1:6" ht="18.75" customHeight="1" thickBot="1" x14ac:dyDescent="0.3">
      <c r="A4" s="7" t="s">
        <v>7</v>
      </c>
      <c r="B4" s="4">
        <v>10396</v>
      </c>
      <c r="C4" s="4">
        <v>17475</v>
      </c>
      <c r="D4" s="4">
        <v>15356</v>
      </c>
      <c r="E4" s="4">
        <v>44301</v>
      </c>
      <c r="F4" s="4">
        <v>97858</v>
      </c>
    </row>
    <row r="5" spans="1:6" ht="18.75" customHeight="1" thickBot="1" x14ac:dyDescent="0.3">
      <c r="A5" s="7" t="s">
        <v>8</v>
      </c>
      <c r="B5" s="5"/>
      <c r="C5" s="5"/>
      <c r="D5" s="5"/>
      <c r="E5" s="5"/>
      <c r="F5" s="5"/>
    </row>
    <row r="6" spans="1:6" ht="18.75" customHeight="1" thickBot="1" x14ac:dyDescent="0.3">
      <c r="A6" s="6" t="s">
        <v>9</v>
      </c>
      <c r="B6" s="3">
        <v>3924</v>
      </c>
      <c r="C6" s="3">
        <v>5268</v>
      </c>
      <c r="D6" s="3">
        <v>7339</v>
      </c>
      <c r="E6" s="3">
        <v>8675</v>
      </c>
      <c r="F6" s="3">
        <v>12914</v>
      </c>
    </row>
    <row r="7" spans="1:6" ht="18.75" customHeight="1" thickBot="1" x14ac:dyDescent="0.3">
      <c r="A7" s="6" t="s">
        <v>10</v>
      </c>
      <c r="B7" s="3">
        <v>1940</v>
      </c>
      <c r="C7" s="3">
        <v>2166</v>
      </c>
      <c r="D7" s="3">
        <v>2440</v>
      </c>
      <c r="E7" s="3">
        <v>2654</v>
      </c>
      <c r="F7" s="3">
        <v>3491</v>
      </c>
    </row>
    <row r="8" spans="1:6" ht="18.75" customHeight="1" thickBot="1" x14ac:dyDescent="0.3">
      <c r="A8" s="6" t="s">
        <v>11</v>
      </c>
      <c r="B8" s="5">
        <v>0</v>
      </c>
      <c r="C8" s="5">
        <v>0</v>
      </c>
      <c r="D8" s="3">
        <v>1353</v>
      </c>
      <c r="E8" s="5">
        <v>0</v>
      </c>
      <c r="F8" s="5">
        <v>0</v>
      </c>
    </row>
    <row r="9" spans="1:6" ht="18.75" customHeight="1" thickBot="1" x14ac:dyDescent="0.3">
      <c r="A9" s="7" t="s">
        <v>13</v>
      </c>
      <c r="B9" s="4">
        <v>5864</v>
      </c>
      <c r="C9" s="4">
        <v>7434</v>
      </c>
      <c r="D9" s="4">
        <v>11132</v>
      </c>
      <c r="E9" s="4">
        <v>11329</v>
      </c>
      <c r="F9" s="4">
        <v>16405</v>
      </c>
    </row>
    <row r="10" spans="1:6" ht="18.75" customHeight="1" thickBot="1" x14ac:dyDescent="0.3">
      <c r="A10" s="7" t="s">
        <v>14</v>
      </c>
      <c r="B10" s="4">
        <v>4532</v>
      </c>
      <c r="C10" s="4">
        <v>10041</v>
      </c>
      <c r="D10" s="4">
        <v>4224</v>
      </c>
      <c r="E10" s="4">
        <v>32972</v>
      </c>
      <c r="F10" s="4">
        <v>81453</v>
      </c>
    </row>
    <row r="11" spans="1:6" ht="18.75" customHeight="1" thickBot="1" x14ac:dyDescent="0.3">
      <c r="A11" s="6" t="s">
        <v>15</v>
      </c>
      <c r="B11" s="5">
        <v>57</v>
      </c>
      <c r="C11" s="5">
        <v>29</v>
      </c>
      <c r="D11" s="5">
        <v>267</v>
      </c>
      <c r="E11" s="5">
        <v>866</v>
      </c>
      <c r="F11" s="3">
        <v>1786</v>
      </c>
    </row>
    <row r="12" spans="1:6" ht="18.75" customHeight="1" thickBot="1" x14ac:dyDescent="0.3">
      <c r="A12" s="6" t="s">
        <v>16</v>
      </c>
      <c r="B12" s="5">
        <v>-184</v>
      </c>
      <c r="C12" s="5">
        <v>-236</v>
      </c>
      <c r="D12" s="5">
        <v>-262</v>
      </c>
      <c r="E12" s="5">
        <v>-257</v>
      </c>
      <c r="F12" s="5">
        <v>-247</v>
      </c>
    </row>
    <row r="13" spans="1:6" ht="18.75" customHeight="1" thickBot="1" x14ac:dyDescent="0.3">
      <c r="A13" s="6" t="s">
        <v>17</v>
      </c>
      <c r="B13" s="5">
        <v>4</v>
      </c>
      <c r="C13" s="5">
        <v>107</v>
      </c>
      <c r="D13" s="5">
        <v>-48</v>
      </c>
      <c r="E13" s="5">
        <v>237</v>
      </c>
      <c r="F13" s="3">
        <v>1034</v>
      </c>
    </row>
    <row r="14" spans="1:6" ht="18.75" customHeight="1" thickBot="1" x14ac:dyDescent="0.3">
      <c r="A14" s="6" t="s">
        <v>18</v>
      </c>
      <c r="B14" s="5">
        <v>-123</v>
      </c>
      <c r="C14" s="5">
        <v>-100</v>
      </c>
      <c r="D14" s="5">
        <v>-43</v>
      </c>
      <c r="E14" s="5">
        <v>846</v>
      </c>
      <c r="F14" s="3">
        <v>2573</v>
      </c>
    </row>
    <row r="15" spans="1:6" ht="18.75" customHeight="1" thickBot="1" x14ac:dyDescent="0.3">
      <c r="A15" s="7" t="s">
        <v>19</v>
      </c>
      <c r="B15" s="4">
        <v>4409</v>
      </c>
      <c r="C15" s="4">
        <v>9941</v>
      </c>
      <c r="D15" s="4">
        <v>4181</v>
      </c>
      <c r="E15" s="4">
        <v>33818</v>
      </c>
      <c r="F15" s="4">
        <v>84026</v>
      </c>
    </row>
    <row r="16" spans="1:6" ht="18.75" customHeight="1" thickBot="1" x14ac:dyDescent="0.3">
      <c r="A16" s="6" t="s">
        <v>20</v>
      </c>
      <c r="B16" s="5">
        <v>77</v>
      </c>
      <c r="C16" s="5">
        <v>189</v>
      </c>
      <c r="D16" s="5">
        <v>-187</v>
      </c>
      <c r="E16" s="3">
        <v>4058</v>
      </c>
      <c r="F16" s="3">
        <v>11146</v>
      </c>
    </row>
    <row r="17" spans="1:6" ht="18.75" customHeight="1" thickBot="1" x14ac:dyDescent="0.3">
      <c r="A17" s="7" t="s">
        <v>21</v>
      </c>
      <c r="B17" s="4">
        <v>4332</v>
      </c>
      <c r="C17" s="4">
        <v>9752</v>
      </c>
      <c r="D17" s="4">
        <v>4368</v>
      </c>
      <c r="E17" s="4">
        <v>29760</v>
      </c>
      <c r="F17" s="4">
        <v>72880</v>
      </c>
    </row>
    <row r="18" spans="1:6" ht="18.75" customHeight="1" thickBot="1" x14ac:dyDescent="0.3">
      <c r="A18" s="7" t="s">
        <v>22</v>
      </c>
      <c r="B18" s="5"/>
      <c r="C18" s="5"/>
      <c r="D18" s="5"/>
      <c r="E18" s="5"/>
      <c r="F18" s="5"/>
    </row>
    <row r="19" spans="1:6" ht="18.75" customHeight="1" thickBot="1" x14ac:dyDescent="0.3">
      <c r="A19" s="6" t="s">
        <v>23</v>
      </c>
      <c r="B19" s="5">
        <v>1.76</v>
      </c>
      <c r="C19" s="5">
        <v>3.91</v>
      </c>
      <c r="D19" s="5">
        <v>0.18</v>
      </c>
      <c r="E19" s="5">
        <v>1.21</v>
      </c>
      <c r="F19" s="5">
        <v>2.97</v>
      </c>
    </row>
    <row r="20" spans="1:6" ht="18.75" customHeight="1" thickBot="1" x14ac:dyDescent="0.3">
      <c r="A20" s="6" t="s">
        <v>24</v>
      </c>
      <c r="B20" s="5">
        <v>1.73</v>
      </c>
      <c r="C20" s="5">
        <v>3.85</v>
      </c>
      <c r="D20" s="5">
        <v>0.17</v>
      </c>
      <c r="E20" s="5">
        <v>1.19</v>
      </c>
      <c r="F20" s="5">
        <v>2.94</v>
      </c>
    </row>
    <row r="21" spans="1:6" ht="18.75" customHeight="1" thickBot="1" x14ac:dyDescent="0.3">
      <c r="A21" s="7" t="s">
        <v>25</v>
      </c>
      <c r="B21" s="5"/>
      <c r="C21" s="5"/>
      <c r="D21" s="5"/>
      <c r="E21" s="5"/>
      <c r="F21" s="5"/>
    </row>
    <row r="22" spans="1:6" ht="18.75" customHeight="1" thickBot="1" x14ac:dyDescent="0.3">
      <c r="A22" s="6" t="s">
        <v>23</v>
      </c>
      <c r="B22" s="3">
        <v>2467</v>
      </c>
      <c r="C22" s="3">
        <v>2496</v>
      </c>
      <c r="D22" s="3">
        <v>2487</v>
      </c>
      <c r="E22" s="3">
        <v>2469</v>
      </c>
      <c r="F22" s="3">
        <v>2455</v>
      </c>
    </row>
    <row r="23" spans="1:6" ht="18.75" customHeight="1" thickBot="1" x14ac:dyDescent="0.3">
      <c r="A23" s="6" t="s">
        <v>24</v>
      </c>
      <c r="B23" s="3">
        <v>2510</v>
      </c>
      <c r="C23" s="3">
        <v>2535</v>
      </c>
      <c r="D23" s="3">
        <v>2507</v>
      </c>
      <c r="E23" s="3">
        <v>2494</v>
      </c>
      <c r="F23" s="3">
        <v>2480</v>
      </c>
    </row>
  </sheetData>
  <sheetProtection algorithmName="SHA-512" hashValue="zAuHYfFTemYHt7P9buo3MhDjRAUK29/uKvDpeULT87zwUyZcpBkipS5mxN39W6ltsyXXDkSE/o79zK25j/Nn9Q==" saltValue="88eRoXxUFTixEQI/oYP/Sw==" spinCount="100000" sheet="1" objects="1" scenarios="1"/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8765-37EC-486B-8BF1-F78873F5701A}">
  <sheetPr codeName="Sheet3">
    <tabColor theme="0" tint="-0.14999847407452621"/>
  </sheetPr>
  <dimension ref="A1:G35"/>
  <sheetViews>
    <sheetView zoomScale="90" zoomScaleNormal="90" workbookViewId="0">
      <pane xSplit="1" ySplit="1" topLeftCell="B2" activePane="bottomRight" state="frozen"/>
      <selection activeCell="C27" sqref="C27"/>
      <selection pane="topRight" activeCell="C27" sqref="C27"/>
      <selection pane="bottomLeft" activeCell="C27" sqref="C27"/>
      <selection pane="bottomRight" activeCell="C15" sqref="C15"/>
    </sheetView>
  </sheetViews>
  <sheetFormatPr defaultColWidth="15.42578125" defaultRowHeight="12.75" x14ac:dyDescent="0.2"/>
  <cols>
    <col min="1" max="1" width="51.85546875" style="1" customWidth="1"/>
    <col min="2" max="2" width="19.85546875" style="1" customWidth="1"/>
    <col min="3" max="16384" width="15.42578125" style="1"/>
  </cols>
  <sheetData>
    <row r="1" spans="1:7" ht="15.75" thickBot="1" x14ac:dyDescent="0.3">
      <c r="A1" s="2" t="s">
        <v>26</v>
      </c>
      <c r="B1" s="8" t="s">
        <v>126</v>
      </c>
      <c r="C1" s="8" t="s">
        <v>4</v>
      </c>
      <c r="D1" s="8" t="s">
        <v>3</v>
      </c>
      <c r="E1" s="8" t="s">
        <v>2</v>
      </c>
      <c r="F1" s="8" t="s">
        <v>1</v>
      </c>
      <c r="G1" s="8" t="s">
        <v>0</v>
      </c>
    </row>
    <row r="2" spans="1:7" ht="26.25" customHeight="1" thickBot="1" x14ac:dyDescent="0.3">
      <c r="A2" s="9" t="s">
        <v>27</v>
      </c>
      <c r="B2" s="5"/>
      <c r="C2" s="5"/>
      <c r="D2" s="5"/>
      <c r="E2" s="5"/>
      <c r="F2" s="5"/>
      <c r="G2" s="5"/>
    </row>
    <row r="3" spans="1:7" ht="15.75" thickBot="1" x14ac:dyDescent="0.3">
      <c r="A3" s="9" t="s">
        <v>28</v>
      </c>
      <c r="B3" s="5"/>
      <c r="C3" s="5"/>
      <c r="D3" s="5"/>
      <c r="E3" s="5"/>
      <c r="F3" s="5"/>
      <c r="G3" s="5"/>
    </row>
    <row r="4" spans="1:7" ht="15.75" thickBot="1" x14ac:dyDescent="0.3">
      <c r="A4" s="6" t="s">
        <v>29</v>
      </c>
      <c r="B4" s="3">
        <v>10896</v>
      </c>
      <c r="C4" s="3">
        <v>847</v>
      </c>
      <c r="D4" s="3">
        <v>1990</v>
      </c>
      <c r="E4" s="3">
        <v>3389</v>
      </c>
      <c r="F4" s="3">
        <v>7280</v>
      </c>
      <c r="G4" s="3">
        <v>8589</v>
      </c>
    </row>
    <row r="5" spans="1:7" ht="15.75" thickBot="1" x14ac:dyDescent="0.3">
      <c r="A5" s="6" t="s">
        <v>30</v>
      </c>
      <c r="B5" s="3">
        <v>1</v>
      </c>
      <c r="C5" s="3">
        <v>10714</v>
      </c>
      <c r="D5" s="3">
        <v>19218</v>
      </c>
      <c r="E5" s="3">
        <v>9907</v>
      </c>
      <c r="F5" s="3">
        <v>18704</v>
      </c>
      <c r="G5" s="3">
        <v>34621</v>
      </c>
    </row>
    <row r="6" spans="1:7" ht="15.75" thickBot="1" x14ac:dyDescent="0.3">
      <c r="A6" s="6" t="s">
        <v>31</v>
      </c>
      <c r="B6" s="3">
        <v>1657</v>
      </c>
      <c r="C6" s="3">
        <v>2429</v>
      </c>
      <c r="D6" s="3">
        <v>4650</v>
      </c>
      <c r="E6" s="3">
        <v>3827</v>
      </c>
      <c r="F6" s="3">
        <v>9999</v>
      </c>
      <c r="G6" s="3">
        <v>23065</v>
      </c>
    </row>
    <row r="7" spans="1:7" ht="15.75" thickBot="1" x14ac:dyDescent="0.3">
      <c r="A7" s="6" t="s">
        <v>32</v>
      </c>
      <c r="B7" s="3">
        <v>979</v>
      </c>
      <c r="C7" s="3">
        <v>1826</v>
      </c>
      <c r="D7" s="3">
        <v>2605</v>
      </c>
      <c r="E7" s="3">
        <v>5159</v>
      </c>
      <c r="F7" s="3">
        <v>5282</v>
      </c>
      <c r="G7" s="3">
        <v>10080</v>
      </c>
    </row>
    <row r="8" spans="1:7" ht="42" customHeight="1" thickBot="1" x14ac:dyDescent="0.3">
      <c r="A8" s="6" t="s">
        <v>33</v>
      </c>
      <c r="B8" s="3">
        <v>157</v>
      </c>
      <c r="C8" s="5">
        <v>239</v>
      </c>
      <c r="D8" s="5">
        <v>366</v>
      </c>
      <c r="E8" s="5">
        <v>791</v>
      </c>
      <c r="F8" s="3">
        <v>3080</v>
      </c>
      <c r="G8" s="3">
        <v>3771</v>
      </c>
    </row>
    <row r="9" spans="1:7" ht="15.75" thickBot="1" x14ac:dyDescent="0.3">
      <c r="A9" s="9" t="s">
        <v>34</v>
      </c>
      <c r="B9" s="4">
        <v>13690</v>
      </c>
      <c r="C9" s="4">
        <v>16055</v>
      </c>
      <c r="D9" s="4">
        <v>28829</v>
      </c>
      <c r="E9" s="4">
        <v>23073</v>
      </c>
      <c r="F9" s="4">
        <v>44345</v>
      </c>
      <c r="G9" s="4">
        <v>80126</v>
      </c>
    </row>
    <row r="10" spans="1:7" ht="15.75" thickBot="1" x14ac:dyDescent="0.3">
      <c r="A10" s="6" t="s">
        <v>35</v>
      </c>
      <c r="B10" s="3">
        <v>1674</v>
      </c>
      <c r="C10" s="3">
        <v>2149</v>
      </c>
      <c r="D10" s="3">
        <v>2778</v>
      </c>
      <c r="E10" s="3">
        <v>3807</v>
      </c>
      <c r="F10" s="3">
        <v>3914</v>
      </c>
      <c r="G10" s="3">
        <v>6283</v>
      </c>
    </row>
    <row r="11" spans="1:7" ht="15.75" thickBot="1" x14ac:dyDescent="0.3">
      <c r="A11" s="6" t="s">
        <v>36</v>
      </c>
      <c r="B11" s="3">
        <v>618</v>
      </c>
      <c r="C11" s="5">
        <v>707</v>
      </c>
      <c r="D11" s="5">
        <v>829</v>
      </c>
      <c r="E11" s="3">
        <v>1038</v>
      </c>
      <c r="F11" s="3">
        <v>1346</v>
      </c>
      <c r="G11" s="3">
        <v>1793</v>
      </c>
    </row>
    <row r="12" spans="1:7" ht="15.75" thickBot="1" x14ac:dyDescent="0.3">
      <c r="A12" s="6" t="s">
        <v>37</v>
      </c>
      <c r="B12" s="3">
        <v>618</v>
      </c>
      <c r="C12" s="3">
        <v>4193</v>
      </c>
      <c r="D12" s="3">
        <v>4349</v>
      </c>
      <c r="E12" s="3">
        <v>4372</v>
      </c>
      <c r="F12" s="3">
        <v>4430</v>
      </c>
      <c r="G12" s="3">
        <v>5188</v>
      </c>
    </row>
    <row r="13" spans="1:7" ht="15.75" thickBot="1" x14ac:dyDescent="0.3">
      <c r="A13" s="6" t="s">
        <v>38</v>
      </c>
      <c r="B13" s="3">
        <v>49</v>
      </c>
      <c r="C13" s="3">
        <v>2737</v>
      </c>
      <c r="D13" s="3">
        <v>2339</v>
      </c>
      <c r="E13" s="3">
        <v>1676</v>
      </c>
      <c r="F13" s="3">
        <v>1112</v>
      </c>
      <c r="G13" s="5">
        <v>807</v>
      </c>
    </row>
    <row r="14" spans="1:7" ht="15.75" thickBot="1" x14ac:dyDescent="0.3">
      <c r="A14" s="6" t="s">
        <v>39</v>
      </c>
      <c r="B14" s="3">
        <v>548</v>
      </c>
      <c r="C14" s="5">
        <v>806</v>
      </c>
      <c r="D14" s="3">
        <v>1222</v>
      </c>
      <c r="E14" s="3">
        <v>3396</v>
      </c>
      <c r="F14" s="3">
        <v>6081</v>
      </c>
      <c r="G14" s="3">
        <v>10979</v>
      </c>
    </row>
    <row r="15" spans="1:7" ht="15.75" thickBot="1" x14ac:dyDescent="0.3">
      <c r="A15" s="6" t="s">
        <v>40</v>
      </c>
      <c r="B15" s="3">
        <v>118</v>
      </c>
      <c r="C15" s="3">
        <v>2144</v>
      </c>
      <c r="D15" s="3">
        <v>3841</v>
      </c>
      <c r="E15" s="3">
        <v>3820</v>
      </c>
      <c r="F15" s="3">
        <v>4500</v>
      </c>
      <c r="G15" s="3">
        <v>6425</v>
      </c>
    </row>
    <row r="16" spans="1:7" ht="15.75" thickBot="1" x14ac:dyDescent="0.3">
      <c r="A16" s="9" t="s">
        <v>41</v>
      </c>
      <c r="B16" s="4">
        <v>17315</v>
      </c>
      <c r="C16" s="4">
        <v>28791</v>
      </c>
      <c r="D16" s="4">
        <v>44187</v>
      </c>
      <c r="E16" s="4">
        <v>41182</v>
      </c>
      <c r="F16" s="4">
        <v>65728</v>
      </c>
      <c r="G16" s="4">
        <v>111601</v>
      </c>
    </row>
    <row r="17" spans="1:7" ht="15.75" thickBot="1" x14ac:dyDescent="0.3">
      <c r="A17" s="9" t="s">
        <v>42</v>
      </c>
      <c r="B17" s="3"/>
      <c r="C17" s="5"/>
      <c r="D17" s="5"/>
      <c r="E17" s="5"/>
      <c r="F17" s="5"/>
      <c r="G17" s="5"/>
    </row>
    <row r="18" spans="1:7" ht="15.75" thickBot="1" x14ac:dyDescent="0.3">
      <c r="A18" s="9" t="s">
        <v>43</v>
      </c>
      <c r="B18" s="3"/>
      <c r="C18" s="5"/>
      <c r="D18" s="5"/>
      <c r="E18" s="5"/>
      <c r="F18" s="5"/>
      <c r="G18" s="5"/>
    </row>
    <row r="19" spans="1:7" ht="15.75" thickBot="1" x14ac:dyDescent="0.3">
      <c r="A19" s="6" t="s">
        <v>44</v>
      </c>
      <c r="B19" s="3">
        <v>687</v>
      </c>
      <c r="C19" s="3">
        <v>1201</v>
      </c>
      <c r="D19" s="3">
        <v>1783</v>
      </c>
      <c r="E19" s="3">
        <v>1193</v>
      </c>
      <c r="F19" s="3">
        <v>2699</v>
      </c>
      <c r="G19" s="3">
        <v>6310</v>
      </c>
    </row>
    <row r="20" spans="1:7" ht="15.75" thickBot="1" x14ac:dyDescent="0.3">
      <c r="A20" s="6" t="s">
        <v>45</v>
      </c>
      <c r="B20" s="3">
        <v>1097</v>
      </c>
      <c r="C20" s="3">
        <v>1725</v>
      </c>
      <c r="D20" s="3">
        <v>2552</v>
      </c>
      <c r="E20" s="3">
        <v>4120</v>
      </c>
      <c r="F20" s="3">
        <v>6682</v>
      </c>
      <c r="G20" s="3">
        <v>11737</v>
      </c>
    </row>
    <row r="21" spans="1:7" ht="15.75" thickBot="1" x14ac:dyDescent="0.3">
      <c r="A21" s="6" t="s">
        <v>46</v>
      </c>
      <c r="B21" s="5">
        <v>0</v>
      </c>
      <c r="C21" s="5">
        <v>999</v>
      </c>
      <c r="D21" s="5">
        <v>0</v>
      </c>
      <c r="E21" s="3">
        <v>1250</v>
      </c>
      <c r="F21" s="3">
        <v>1250</v>
      </c>
      <c r="G21" s="5">
        <v>0</v>
      </c>
    </row>
    <row r="22" spans="1:7" ht="15.75" thickBot="1" x14ac:dyDescent="0.3">
      <c r="A22" s="9" t="s">
        <v>47</v>
      </c>
      <c r="B22" s="4">
        <v>1784</v>
      </c>
      <c r="C22" s="4">
        <v>3925</v>
      </c>
      <c r="D22" s="4">
        <v>4335</v>
      </c>
      <c r="E22" s="4">
        <v>6563</v>
      </c>
      <c r="F22" s="4">
        <v>10631</v>
      </c>
      <c r="G22" s="4">
        <v>18047</v>
      </c>
    </row>
    <row r="23" spans="1:7" ht="15.75" thickBot="1" x14ac:dyDescent="0.3">
      <c r="A23" s="6" t="s">
        <v>48</v>
      </c>
      <c r="B23" s="3">
        <v>1991</v>
      </c>
      <c r="C23" s="3">
        <v>5964</v>
      </c>
      <c r="D23" s="3">
        <v>10946</v>
      </c>
      <c r="E23" s="3">
        <v>9703</v>
      </c>
      <c r="F23" s="3">
        <v>8459</v>
      </c>
      <c r="G23" s="3">
        <v>8463</v>
      </c>
    </row>
    <row r="24" spans="1:7" ht="15.75" thickBot="1" x14ac:dyDescent="0.3">
      <c r="A24" s="6" t="s">
        <v>49</v>
      </c>
      <c r="B24" s="3">
        <v>561</v>
      </c>
      <c r="C24" s="5">
        <v>634</v>
      </c>
      <c r="D24" s="5">
        <v>741</v>
      </c>
      <c r="E24" s="5">
        <v>902</v>
      </c>
      <c r="F24" s="3">
        <v>1119</v>
      </c>
      <c r="G24" s="3">
        <v>1519</v>
      </c>
    </row>
    <row r="25" spans="1:7" ht="15.75" thickBot="1" x14ac:dyDescent="0.3">
      <c r="A25" s="6" t="s">
        <v>50</v>
      </c>
      <c r="B25" s="3">
        <v>775</v>
      </c>
      <c r="C25" s="3">
        <v>1375</v>
      </c>
      <c r="D25" s="3">
        <v>1553</v>
      </c>
      <c r="E25" s="3">
        <v>1913</v>
      </c>
      <c r="F25" s="3">
        <v>2541</v>
      </c>
      <c r="G25" s="3">
        <v>4245</v>
      </c>
    </row>
    <row r="26" spans="1:7" ht="15.75" thickBot="1" x14ac:dyDescent="0.3">
      <c r="A26" s="9" t="s">
        <v>51</v>
      </c>
      <c r="B26" s="4">
        <v>5111</v>
      </c>
      <c r="C26" s="4">
        <v>11898</v>
      </c>
      <c r="D26" s="4">
        <v>17575</v>
      </c>
      <c r="E26" s="4">
        <v>19081</v>
      </c>
      <c r="F26" s="4">
        <v>22750</v>
      </c>
      <c r="G26" s="4">
        <v>32274</v>
      </c>
    </row>
    <row r="27" spans="1:7" ht="15.75" thickBot="1" x14ac:dyDescent="0.3">
      <c r="A27" s="9" t="s">
        <v>52</v>
      </c>
      <c r="B27" s="3"/>
      <c r="C27" s="5"/>
      <c r="D27" s="5"/>
      <c r="E27" s="5"/>
      <c r="F27" s="5"/>
      <c r="G27" s="5"/>
    </row>
    <row r="28" spans="1:7" ht="30.75" thickBot="1" x14ac:dyDescent="0.3">
      <c r="A28" s="6" t="s">
        <v>53</v>
      </c>
      <c r="B28" s="3"/>
      <c r="C28" s="5" t="s">
        <v>12</v>
      </c>
      <c r="D28" s="5" t="s">
        <v>12</v>
      </c>
      <c r="E28" s="5" t="s">
        <v>12</v>
      </c>
      <c r="F28" s="5" t="s">
        <v>12</v>
      </c>
      <c r="G28" s="5" t="s">
        <v>12</v>
      </c>
    </row>
    <row r="29" spans="1:7" ht="15.75" thickBot="1" x14ac:dyDescent="0.3">
      <c r="A29" s="6" t="s">
        <v>54</v>
      </c>
      <c r="B29" s="3">
        <v>1</v>
      </c>
      <c r="C29" s="5">
        <v>1</v>
      </c>
      <c r="D29" s="5">
        <v>3</v>
      </c>
      <c r="E29" s="5">
        <v>2</v>
      </c>
      <c r="F29" s="5">
        <v>25</v>
      </c>
      <c r="G29" s="5">
        <v>24</v>
      </c>
    </row>
    <row r="30" spans="1:7" ht="15.75" thickBot="1" x14ac:dyDescent="0.3">
      <c r="A30" s="6" t="s">
        <v>55</v>
      </c>
      <c r="B30" s="3">
        <v>7045</v>
      </c>
      <c r="C30" s="3">
        <v>8721</v>
      </c>
      <c r="D30" s="3">
        <v>10385</v>
      </c>
      <c r="E30" s="3">
        <v>11971</v>
      </c>
      <c r="F30" s="3">
        <v>13109</v>
      </c>
      <c r="G30" s="3">
        <v>11237</v>
      </c>
    </row>
    <row r="31" spans="1:7" ht="15.75" thickBot="1" x14ac:dyDescent="0.3">
      <c r="A31" s="6" t="s">
        <v>124</v>
      </c>
      <c r="B31" s="3">
        <v>-9814</v>
      </c>
      <c r="C31" s="3">
        <v>-10756</v>
      </c>
      <c r="D31" s="5">
        <v>0</v>
      </c>
      <c r="E31" s="5">
        <v>0</v>
      </c>
      <c r="F31" s="5">
        <v>0</v>
      </c>
      <c r="G31" s="5">
        <v>0</v>
      </c>
    </row>
    <row r="32" spans="1:7" ht="15.75" thickBot="1" x14ac:dyDescent="0.3">
      <c r="A32" s="6" t="s">
        <v>56</v>
      </c>
      <c r="B32" s="3">
        <v>1</v>
      </c>
      <c r="C32" s="5">
        <v>19</v>
      </c>
      <c r="D32" s="5">
        <v>-11</v>
      </c>
      <c r="E32" s="5">
        <v>-43</v>
      </c>
      <c r="F32" s="5">
        <v>27</v>
      </c>
      <c r="G32" s="5">
        <v>28</v>
      </c>
    </row>
    <row r="33" spans="1:7" ht="15.75" thickBot="1" x14ac:dyDescent="0.3">
      <c r="A33" s="6" t="s">
        <v>57</v>
      </c>
      <c r="B33" s="3">
        <v>14971</v>
      </c>
      <c r="C33" s="3">
        <v>18908</v>
      </c>
      <c r="D33" s="3">
        <v>16235</v>
      </c>
      <c r="E33" s="3">
        <v>10171</v>
      </c>
      <c r="F33" s="3">
        <v>29817</v>
      </c>
      <c r="G33" s="3">
        <v>68038</v>
      </c>
    </row>
    <row r="34" spans="1:7" ht="15.75" thickBot="1" x14ac:dyDescent="0.3">
      <c r="A34" s="9" t="s">
        <v>58</v>
      </c>
      <c r="B34" s="4">
        <v>12204</v>
      </c>
      <c r="C34" s="4">
        <v>16893</v>
      </c>
      <c r="D34" s="4">
        <v>26612</v>
      </c>
      <c r="E34" s="4">
        <v>22101</v>
      </c>
      <c r="F34" s="4">
        <v>42978</v>
      </c>
      <c r="G34" s="4">
        <v>79327</v>
      </c>
    </row>
    <row r="35" spans="1:7" ht="15.75" thickBot="1" x14ac:dyDescent="0.3">
      <c r="A35" s="9" t="s">
        <v>59</v>
      </c>
      <c r="B35" s="4">
        <v>17315</v>
      </c>
      <c r="C35" s="4">
        <v>28791</v>
      </c>
      <c r="D35" s="4">
        <v>44187</v>
      </c>
      <c r="E35" s="4">
        <v>41182</v>
      </c>
      <c r="F35" s="4">
        <v>65728</v>
      </c>
      <c r="G35" s="4">
        <v>111601</v>
      </c>
    </row>
  </sheetData>
  <sheetProtection algorithmName="SHA-512" hashValue="/g5w36VBusDPLyi88fJ/WPmn9YJSWXua5QTH/EAQuGQ+9xV4MY4A1a0L8rN4A7ZUmhPQhdyIw/Vrks2bZW8o0A==" saltValue="Ju4NmDiUbYz0A9JV4qBmrg==" spinCount="100000" sheet="1" objects="1" scenarios="1"/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AA3F-8861-452E-8104-F4F04AC7D983}">
  <sheetPr codeName="Sheet4">
    <tabColor theme="0" tint="-0.14999847407452621"/>
  </sheetPr>
  <dimension ref="A1:G43"/>
  <sheetViews>
    <sheetView zoomScale="70" zoomScaleNormal="70" workbookViewId="0">
      <pane xSplit="1" ySplit="1" topLeftCell="B2" activePane="bottomRight" state="frozen"/>
      <selection activeCell="C27" sqref="C27"/>
      <selection pane="topRight" activeCell="C27" sqref="C27"/>
      <selection pane="bottomLeft" activeCell="C27" sqref="C27"/>
      <selection pane="bottomRight" activeCell="B9" sqref="B9"/>
    </sheetView>
  </sheetViews>
  <sheetFormatPr defaultColWidth="14" defaultRowHeight="29.25" customHeight="1" x14ac:dyDescent="0.2"/>
  <cols>
    <col min="1" max="1" width="87.42578125" style="1" bestFit="1" customWidth="1"/>
    <col min="2" max="2" width="23.140625" style="1" bestFit="1" customWidth="1"/>
    <col min="3" max="3" width="22.42578125" style="1" bestFit="1" customWidth="1"/>
    <col min="4" max="7" width="23.140625" style="1" bestFit="1" customWidth="1"/>
    <col min="8" max="16384" width="14" style="1"/>
  </cols>
  <sheetData>
    <row r="1" spans="1:7" ht="29.25" customHeight="1" thickBot="1" x14ac:dyDescent="0.3">
      <c r="A1" s="2" t="s">
        <v>26</v>
      </c>
      <c r="B1" s="8" t="s">
        <v>126</v>
      </c>
      <c r="C1" s="8" t="s">
        <v>4</v>
      </c>
      <c r="D1" s="8" t="s">
        <v>3</v>
      </c>
      <c r="E1" s="8" t="s">
        <v>2</v>
      </c>
      <c r="F1" s="8" t="s">
        <v>1</v>
      </c>
      <c r="G1" s="8" t="s">
        <v>0</v>
      </c>
    </row>
    <row r="2" spans="1:7" ht="29.25" customHeight="1" thickBot="1" x14ac:dyDescent="0.3">
      <c r="A2" s="9" t="s">
        <v>60</v>
      </c>
      <c r="B2" s="9"/>
      <c r="C2" s="5"/>
      <c r="D2" s="5"/>
      <c r="E2" s="5"/>
      <c r="F2" s="5"/>
      <c r="G2" s="5"/>
    </row>
    <row r="3" spans="1:7" ht="29.25" customHeight="1" thickBot="1" x14ac:dyDescent="0.3">
      <c r="A3" s="6" t="s">
        <v>21</v>
      </c>
      <c r="B3" s="3">
        <v>2796</v>
      </c>
      <c r="C3" s="3">
        <v>4332</v>
      </c>
      <c r="D3" s="3">
        <v>9752</v>
      </c>
      <c r="E3" s="3">
        <v>4368</v>
      </c>
      <c r="F3" s="3">
        <v>29760</v>
      </c>
      <c r="G3" s="3">
        <v>72880</v>
      </c>
    </row>
    <row r="4" spans="1:7" ht="29.25" customHeight="1" thickBot="1" x14ac:dyDescent="0.3">
      <c r="A4" s="6" t="s">
        <v>61</v>
      </c>
      <c r="B4" s="3">
        <v>844</v>
      </c>
      <c r="C4" s="3">
        <v>1397</v>
      </c>
      <c r="D4" s="3">
        <v>2004</v>
      </c>
      <c r="E4" s="3">
        <v>2709</v>
      </c>
      <c r="F4" s="3">
        <v>3549</v>
      </c>
      <c r="G4" s="3">
        <v>4737</v>
      </c>
    </row>
    <row r="5" spans="1:7" ht="29.25" customHeight="1" thickBot="1" x14ac:dyDescent="0.3">
      <c r="A5" s="6" t="s">
        <v>62</v>
      </c>
      <c r="B5" s="3">
        <v>381</v>
      </c>
      <c r="C5" s="3">
        <v>1098</v>
      </c>
      <c r="D5" s="3">
        <v>1174</v>
      </c>
      <c r="E5" s="3">
        <v>1544</v>
      </c>
      <c r="F5" s="3">
        <v>1508</v>
      </c>
      <c r="G5" s="3">
        <v>1864</v>
      </c>
    </row>
    <row r="6" spans="1:7" ht="29.25" customHeight="1" thickBot="1" x14ac:dyDescent="0.3">
      <c r="A6" s="6" t="s">
        <v>63</v>
      </c>
      <c r="B6" s="3">
        <v>18</v>
      </c>
      <c r="C6" s="5">
        <v>-282</v>
      </c>
      <c r="D6" s="5">
        <v>-406</v>
      </c>
      <c r="E6" s="3">
        <v>-2164</v>
      </c>
      <c r="F6" s="3">
        <v>-2489</v>
      </c>
      <c r="G6" s="3">
        <v>-4477</v>
      </c>
    </row>
    <row r="7" spans="1:7" ht="29.25" customHeight="1" thickBot="1" x14ac:dyDescent="0.3">
      <c r="A7" s="6" t="s">
        <v>64</v>
      </c>
      <c r="B7" s="3">
        <v>1</v>
      </c>
      <c r="C7" s="5">
        <v>0</v>
      </c>
      <c r="D7" s="5">
        <v>-100</v>
      </c>
      <c r="E7" s="5">
        <v>45</v>
      </c>
      <c r="F7" s="5">
        <v>-238</v>
      </c>
      <c r="G7" s="3">
        <v>-1030</v>
      </c>
    </row>
    <row r="8" spans="1:7" ht="29.25" customHeight="1" thickBot="1" x14ac:dyDescent="0.3">
      <c r="A8" s="6" t="s">
        <v>11</v>
      </c>
      <c r="B8" s="5">
        <v>0</v>
      </c>
      <c r="C8" s="5">
        <v>0</v>
      </c>
      <c r="D8" s="5">
        <v>0</v>
      </c>
      <c r="E8" s="3">
        <v>1353</v>
      </c>
      <c r="F8" s="5">
        <v>0</v>
      </c>
      <c r="G8" s="5">
        <v>0</v>
      </c>
    </row>
    <row r="9" spans="1:7" ht="29.25" customHeight="1" thickBot="1" x14ac:dyDescent="0.3">
      <c r="A9" s="6" t="s">
        <v>65</v>
      </c>
      <c r="B9" s="3">
        <v>4</v>
      </c>
      <c r="C9" s="5">
        <v>-20</v>
      </c>
      <c r="D9" s="5">
        <v>47</v>
      </c>
      <c r="E9" s="5">
        <v>-7</v>
      </c>
      <c r="F9" s="5">
        <v>-278</v>
      </c>
      <c r="G9" s="5">
        <v>-502</v>
      </c>
    </row>
    <row r="10" spans="1:7" ht="29.25" customHeight="1" thickBot="1" x14ac:dyDescent="0.3">
      <c r="A10" s="9" t="s">
        <v>66</v>
      </c>
      <c r="B10" s="3"/>
      <c r="C10" s="5"/>
      <c r="D10" s="5"/>
      <c r="E10" s="5"/>
      <c r="F10" s="5"/>
      <c r="G10" s="5"/>
    </row>
    <row r="11" spans="1:7" ht="29.25" customHeight="1" thickBot="1" x14ac:dyDescent="0.3">
      <c r="A11" s="6" t="s">
        <v>67</v>
      </c>
      <c r="B11" s="3">
        <v>-233</v>
      </c>
      <c r="C11" s="5">
        <v>-550</v>
      </c>
      <c r="D11" s="3">
        <v>-2215</v>
      </c>
      <c r="E11" s="5">
        <v>822</v>
      </c>
      <c r="F11" s="3">
        <v>-6172</v>
      </c>
      <c r="G11" s="3">
        <v>-13063</v>
      </c>
    </row>
    <row r="12" spans="1:7" ht="29.25" customHeight="1" thickBot="1" x14ac:dyDescent="0.3">
      <c r="A12" s="6" t="s">
        <v>32</v>
      </c>
      <c r="B12" s="3">
        <v>597</v>
      </c>
      <c r="C12" s="5">
        <v>-524</v>
      </c>
      <c r="D12" s="5">
        <v>-774</v>
      </c>
      <c r="E12" s="3">
        <v>-2554</v>
      </c>
      <c r="F12" s="5">
        <v>-98</v>
      </c>
      <c r="G12" s="3">
        <v>-4781</v>
      </c>
    </row>
    <row r="13" spans="1:7" ht="29.25" customHeight="1" thickBot="1" x14ac:dyDescent="0.3">
      <c r="A13" s="6" t="s">
        <v>68</v>
      </c>
      <c r="B13" s="3">
        <v>77</v>
      </c>
      <c r="C13" s="5">
        <v>-394</v>
      </c>
      <c r="D13" s="3">
        <v>-1715</v>
      </c>
      <c r="E13" s="3">
        <v>-1517</v>
      </c>
      <c r="F13" s="3">
        <v>-1522</v>
      </c>
      <c r="G13" s="5">
        <v>-395</v>
      </c>
    </row>
    <row r="14" spans="1:7" ht="29.25" customHeight="1" thickBot="1" x14ac:dyDescent="0.3">
      <c r="A14" s="6" t="s">
        <v>44</v>
      </c>
      <c r="B14" s="3">
        <v>194</v>
      </c>
      <c r="C14" s="5">
        <v>312</v>
      </c>
      <c r="D14" s="5">
        <v>568</v>
      </c>
      <c r="E14" s="5">
        <v>-551</v>
      </c>
      <c r="F14" s="3">
        <v>1531</v>
      </c>
      <c r="G14" s="3">
        <v>3357</v>
      </c>
    </row>
    <row r="15" spans="1:7" ht="29.25" customHeight="1" thickBot="1" x14ac:dyDescent="0.3">
      <c r="A15" s="6" t="s">
        <v>45</v>
      </c>
      <c r="B15" s="3">
        <v>54</v>
      </c>
      <c r="C15" s="5">
        <v>290</v>
      </c>
      <c r="D15" s="5">
        <v>581</v>
      </c>
      <c r="E15" s="3">
        <v>1341</v>
      </c>
      <c r="F15" s="3">
        <v>2025</v>
      </c>
      <c r="G15" s="3">
        <v>4278</v>
      </c>
    </row>
    <row r="16" spans="1:7" ht="29.25" customHeight="1" thickBot="1" x14ac:dyDescent="0.3">
      <c r="A16" s="6" t="s">
        <v>69</v>
      </c>
      <c r="B16" s="3">
        <v>27</v>
      </c>
      <c r="C16" s="5">
        <v>163</v>
      </c>
      <c r="D16" s="5">
        <v>192</v>
      </c>
      <c r="E16" s="5">
        <v>252</v>
      </c>
      <c r="F16" s="5">
        <v>514</v>
      </c>
      <c r="G16" s="3">
        <v>1221</v>
      </c>
    </row>
    <row r="17" spans="1:7" ht="29.25" customHeight="1" thickBot="1" x14ac:dyDescent="0.3">
      <c r="A17" s="9" t="s">
        <v>70</v>
      </c>
      <c r="B17" s="4">
        <v>4761</v>
      </c>
      <c r="C17" s="4">
        <v>5822</v>
      </c>
      <c r="D17" s="4">
        <v>9108</v>
      </c>
      <c r="E17" s="4">
        <v>5641</v>
      </c>
      <c r="F17" s="4">
        <v>28090</v>
      </c>
      <c r="G17" s="4">
        <v>64089</v>
      </c>
    </row>
    <row r="18" spans="1:7" ht="29.25" customHeight="1" thickBot="1" x14ac:dyDescent="0.3">
      <c r="A18" s="9" t="s">
        <v>71</v>
      </c>
      <c r="B18" s="3"/>
      <c r="C18" s="5"/>
      <c r="D18" s="5"/>
      <c r="E18" s="5"/>
      <c r="F18" s="5"/>
      <c r="G18" s="5"/>
    </row>
    <row r="19" spans="1:7" ht="29.25" customHeight="1" thickBot="1" x14ac:dyDescent="0.3">
      <c r="A19" s="6" t="s">
        <v>72</v>
      </c>
      <c r="B19" s="3">
        <v>4744</v>
      </c>
      <c r="C19" s="3">
        <v>8792</v>
      </c>
      <c r="D19" s="3">
        <v>15197</v>
      </c>
      <c r="E19" s="3">
        <v>19425</v>
      </c>
      <c r="F19" s="3">
        <v>9732</v>
      </c>
      <c r="G19" s="3">
        <v>11195</v>
      </c>
    </row>
    <row r="20" spans="1:7" ht="29.25" customHeight="1" thickBot="1" x14ac:dyDescent="0.3">
      <c r="A20" s="6" t="s">
        <v>73</v>
      </c>
      <c r="B20" s="3">
        <v>3365</v>
      </c>
      <c r="C20" s="5">
        <v>527</v>
      </c>
      <c r="D20" s="3">
        <v>1023</v>
      </c>
      <c r="E20" s="3">
        <v>1806</v>
      </c>
      <c r="F20" s="5">
        <v>50</v>
      </c>
      <c r="G20" s="5">
        <v>495</v>
      </c>
    </row>
    <row r="21" spans="1:7" ht="29.25" customHeight="1" thickBot="1" x14ac:dyDescent="0.3">
      <c r="A21" s="6" t="s">
        <v>74</v>
      </c>
      <c r="B21" s="3">
        <v>0</v>
      </c>
      <c r="C21" s="5">
        <v>0</v>
      </c>
      <c r="D21" s="5">
        <v>0</v>
      </c>
      <c r="E21" s="5">
        <v>8</v>
      </c>
      <c r="F21" s="5">
        <v>1</v>
      </c>
      <c r="G21" s="5">
        <v>171</v>
      </c>
    </row>
    <row r="22" spans="1:7" ht="29.25" customHeight="1" thickBot="1" x14ac:dyDescent="0.3">
      <c r="A22" s="6" t="s">
        <v>75</v>
      </c>
      <c r="B22" s="3">
        <v>-1461</v>
      </c>
      <c r="C22" s="3">
        <v>-19308</v>
      </c>
      <c r="D22" s="3">
        <v>-24787</v>
      </c>
      <c r="E22" s="3">
        <v>-11897</v>
      </c>
      <c r="F22" s="3">
        <v>-18211</v>
      </c>
      <c r="G22" s="3">
        <v>-26575</v>
      </c>
    </row>
    <row r="23" spans="1:7" ht="29.25" customHeight="1" thickBot="1" x14ac:dyDescent="0.3">
      <c r="A23" s="6" t="s">
        <v>76</v>
      </c>
      <c r="B23" s="3">
        <v>-489</v>
      </c>
      <c r="C23" s="3">
        <v>-1128</v>
      </c>
      <c r="D23" s="5">
        <v>-976</v>
      </c>
      <c r="E23" s="3">
        <v>-1833</v>
      </c>
      <c r="F23" s="3">
        <v>-1069</v>
      </c>
      <c r="G23" s="3">
        <v>-3236</v>
      </c>
    </row>
    <row r="24" spans="1:7" ht="29.25" customHeight="1" thickBot="1" x14ac:dyDescent="0.3">
      <c r="A24" s="6" t="s">
        <v>77</v>
      </c>
      <c r="B24" s="5">
        <v>0</v>
      </c>
      <c r="C24" s="5">
        <v>0</v>
      </c>
      <c r="D24" s="5">
        <v>0</v>
      </c>
      <c r="E24" s="5">
        <v>-85</v>
      </c>
      <c r="F24" s="5">
        <v>-862</v>
      </c>
      <c r="G24" s="3">
        <v>-1486</v>
      </c>
    </row>
    <row r="25" spans="1:7" ht="29.25" customHeight="1" thickBot="1" x14ac:dyDescent="0.3">
      <c r="A25" s="6" t="s">
        <v>78</v>
      </c>
      <c r="B25" s="3">
        <v>-4</v>
      </c>
      <c r="C25" s="3">
        <v>-8524</v>
      </c>
      <c r="D25" s="5">
        <v>-263</v>
      </c>
      <c r="E25" s="5">
        <v>-49</v>
      </c>
      <c r="F25" s="5">
        <v>-83</v>
      </c>
      <c r="G25" s="3">
        <v>-1007</v>
      </c>
    </row>
    <row r="26" spans="1:7" ht="29.25" customHeight="1" thickBot="1" x14ac:dyDescent="0.3">
      <c r="A26" s="6" t="s">
        <v>65</v>
      </c>
      <c r="B26" s="3">
        <v>-10</v>
      </c>
      <c r="C26" s="5">
        <v>-34</v>
      </c>
      <c r="D26" s="5">
        <v>-24</v>
      </c>
      <c r="E26" s="5">
        <v>0</v>
      </c>
      <c r="F26" s="5">
        <v>-124</v>
      </c>
      <c r="G26" s="5">
        <v>22</v>
      </c>
    </row>
    <row r="27" spans="1:7" ht="29.25" customHeight="1" thickBot="1" x14ac:dyDescent="0.3">
      <c r="A27" s="9" t="s">
        <v>79</v>
      </c>
      <c r="B27" s="4">
        <v>6145</v>
      </c>
      <c r="C27" s="4">
        <v>-19675</v>
      </c>
      <c r="D27" s="4">
        <v>-9830</v>
      </c>
      <c r="E27" s="4">
        <v>7375</v>
      </c>
      <c r="F27" s="4">
        <v>-10566</v>
      </c>
      <c r="G27" s="4">
        <v>-20421</v>
      </c>
    </row>
    <row r="28" spans="1:7" ht="29.25" customHeight="1" thickBot="1" x14ac:dyDescent="0.3">
      <c r="A28" s="9" t="s">
        <v>80</v>
      </c>
      <c r="B28" s="3"/>
      <c r="C28" s="5"/>
      <c r="D28" s="5"/>
      <c r="E28" s="5"/>
      <c r="F28" s="5"/>
      <c r="G28" s="5"/>
    </row>
    <row r="29" spans="1:7" ht="29.25" customHeight="1" thickBot="1" x14ac:dyDescent="0.3">
      <c r="A29" s="6" t="s">
        <v>125</v>
      </c>
      <c r="B29" s="3">
        <v>0</v>
      </c>
      <c r="C29" s="5">
        <v>4968</v>
      </c>
      <c r="D29" s="5">
        <v>4977</v>
      </c>
      <c r="E29" s="5">
        <v>0</v>
      </c>
      <c r="F29" s="5">
        <v>0</v>
      </c>
      <c r="G29" s="5">
        <v>0</v>
      </c>
    </row>
    <row r="30" spans="1:7" ht="29.25" customHeight="1" thickBot="1" x14ac:dyDescent="0.3">
      <c r="A30" s="6" t="s">
        <v>81</v>
      </c>
      <c r="B30" s="3">
        <v>149</v>
      </c>
      <c r="C30" s="5">
        <v>194</v>
      </c>
      <c r="D30" s="5">
        <v>281</v>
      </c>
      <c r="E30" s="5">
        <v>355</v>
      </c>
      <c r="F30" s="5">
        <v>403</v>
      </c>
      <c r="G30" s="5">
        <v>490</v>
      </c>
    </row>
    <row r="31" spans="1:7" ht="29.25" customHeight="1" thickBot="1" x14ac:dyDescent="0.3">
      <c r="A31" s="6" t="s">
        <v>82</v>
      </c>
      <c r="B31" s="3">
        <v>0</v>
      </c>
      <c r="C31" s="5">
        <v>0</v>
      </c>
      <c r="D31" s="5">
        <v>0</v>
      </c>
      <c r="E31" s="3">
        <v>-10039</v>
      </c>
      <c r="F31" s="3">
        <v>-9533</v>
      </c>
      <c r="G31" s="3">
        <v>-33706</v>
      </c>
    </row>
    <row r="32" spans="1:7" ht="29.25" customHeight="1" thickBot="1" x14ac:dyDescent="0.3">
      <c r="A32" s="6" t="s">
        <v>83</v>
      </c>
      <c r="B32" s="3">
        <v>-551</v>
      </c>
      <c r="C32" s="5">
        <v>-942</v>
      </c>
      <c r="D32" s="3">
        <v>-1904</v>
      </c>
      <c r="E32" s="3">
        <v>-1475</v>
      </c>
      <c r="F32" s="3">
        <v>-2783</v>
      </c>
      <c r="G32" s="3">
        <v>-6930</v>
      </c>
    </row>
    <row r="33" spans="1:7" ht="29.25" customHeight="1" thickBot="1" x14ac:dyDescent="0.3">
      <c r="A33" s="6" t="s">
        <v>84</v>
      </c>
      <c r="B33" s="3">
        <v>0</v>
      </c>
      <c r="C33" s="5">
        <v>0</v>
      </c>
      <c r="D33" s="5">
        <v>-1000</v>
      </c>
      <c r="E33" s="5">
        <v>0</v>
      </c>
      <c r="F33" s="3">
        <v>-1250</v>
      </c>
      <c r="G33" s="3">
        <v>-1250</v>
      </c>
    </row>
    <row r="34" spans="1:7" ht="29.25" customHeight="1" thickBot="1" x14ac:dyDescent="0.3">
      <c r="A34" s="6" t="s">
        <v>85</v>
      </c>
      <c r="B34" s="3">
        <v>-390</v>
      </c>
      <c r="C34" s="5">
        <v>-395</v>
      </c>
      <c r="D34" s="5">
        <v>-399</v>
      </c>
      <c r="E34" s="5">
        <v>-398</v>
      </c>
      <c r="F34" s="5">
        <v>-395</v>
      </c>
      <c r="G34" s="5">
        <v>-834</v>
      </c>
    </row>
    <row r="35" spans="1:7" ht="29.25" customHeight="1" thickBot="1" x14ac:dyDescent="0.3">
      <c r="A35" s="6" t="s">
        <v>127</v>
      </c>
      <c r="B35" s="3">
        <v>0</v>
      </c>
      <c r="C35" s="5">
        <v>-17</v>
      </c>
      <c r="D35" s="5">
        <v>-83</v>
      </c>
      <c r="E35" s="5">
        <v>-58</v>
      </c>
      <c r="F35" s="5">
        <v>-74</v>
      </c>
      <c r="G35" s="5">
        <v>-129</v>
      </c>
    </row>
    <row r="36" spans="1:7" ht="29.25" customHeight="1" thickBot="1" x14ac:dyDescent="0.3">
      <c r="A36" s="6" t="s">
        <v>65</v>
      </c>
      <c r="B36" s="3">
        <v>0</v>
      </c>
      <c r="C36" s="5">
        <v>-4</v>
      </c>
      <c r="D36" s="5">
        <v>-7</v>
      </c>
      <c r="E36" s="5">
        <v>-2</v>
      </c>
      <c r="F36" s="5">
        <v>-1</v>
      </c>
      <c r="G36" s="5">
        <v>0</v>
      </c>
    </row>
    <row r="37" spans="1:7" ht="29.25" customHeight="1" thickBot="1" x14ac:dyDescent="0.3">
      <c r="A37" s="9" t="s">
        <v>86</v>
      </c>
      <c r="B37" s="3">
        <v>-792</v>
      </c>
      <c r="C37" s="4">
        <v>3804</v>
      </c>
      <c r="D37" s="4">
        <v>1865</v>
      </c>
      <c r="E37" s="4">
        <v>-11617</v>
      </c>
      <c r="F37" s="4">
        <v>-13633</v>
      </c>
      <c r="G37" s="4">
        <v>-42359</v>
      </c>
    </row>
    <row r="38" spans="1:7" ht="29.25" customHeight="1" thickBot="1" x14ac:dyDescent="0.3">
      <c r="A38" s="9" t="s">
        <v>87</v>
      </c>
      <c r="B38" s="4">
        <v>10114</v>
      </c>
      <c r="C38" s="4">
        <v>-10049</v>
      </c>
      <c r="D38" s="4">
        <v>1143</v>
      </c>
      <c r="E38" s="4">
        <v>1399</v>
      </c>
      <c r="F38" s="4">
        <v>3891</v>
      </c>
      <c r="G38" s="4">
        <v>1309</v>
      </c>
    </row>
    <row r="39" spans="1:7" ht="29.25" customHeight="1" thickBot="1" x14ac:dyDescent="0.3">
      <c r="A39" s="6" t="s">
        <v>88</v>
      </c>
      <c r="B39" s="3">
        <v>782</v>
      </c>
      <c r="C39" s="3">
        <v>10896</v>
      </c>
      <c r="D39" s="5">
        <v>847</v>
      </c>
      <c r="E39" s="3">
        <v>1990</v>
      </c>
      <c r="F39" s="3">
        <v>3389</v>
      </c>
      <c r="G39" s="3">
        <v>7280</v>
      </c>
    </row>
    <row r="40" spans="1:7" ht="29.25" customHeight="1" thickBot="1" x14ac:dyDescent="0.3">
      <c r="A40" s="9" t="s">
        <v>89</v>
      </c>
      <c r="B40" s="10">
        <v>10896</v>
      </c>
      <c r="C40" s="10">
        <v>847</v>
      </c>
      <c r="D40" s="4">
        <v>1990</v>
      </c>
      <c r="E40" s="4">
        <v>3389</v>
      </c>
      <c r="F40" s="4">
        <v>7280</v>
      </c>
      <c r="G40" s="4">
        <v>8589</v>
      </c>
    </row>
    <row r="41" spans="1:7" ht="29.25" customHeight="1" thickBot="1" x14ac:dyDescent="0.3">
      <c r="A41" s="9" t="s">
        <v>90</v>
      </c>
      <c r="B41" s="3"/>
      <c r="C41" s="5"/>
      <c r="D41" s="5"/>
      <c r="E41" s="5"/>
      <c r="F41" s="5"/>
      <c r="G41" s="5"/>
    </row>
    <row r="42" spans="1:7" ht="29.25" customHeight="1" thickBot="1" x14ac:dyDescent="0.3">
      <c r="A42" s="6" t="s">
        <v>91</v>
      </c>
      <c r="B42" s="3">
        <v>176</v>
      </c>
      <c r="C42" s="5">
        <v>249</v>
      </c>
      <c r="D42" s="5">
        <v>396</v>
      </c>
      <c r="E42" s="3">
        <v>1404</v>
      </c>
      <c r="F42" s="3">
        <v>6549</v>
      </c>
      <c r="G42" s="3">
        <v>15118</v>
      </c>
    </row>
    <row r="43" spans="1:7" ht="29.25" customHeight="1" thickBot="1" x14ac:dyDescent="0.3">
      <c r="A43" s="6" t="s">
        <v>92</v>
      </c>
      <c r="B43" s="3">
        <v>54</v>
      </c>
      <c r="C43" s="5">
        <v>138</v>
      </c>
      <c r="D43" s="5">
        <v>246</v>
      </c>
      <c r="E43" s="5">
        <v>254</v>
      </c>
      <c r="F43" s="5">
        <v>252</v>
      </c>
      <c r="G43" s="5">
        <v>246</v>
      </c>
    </row>
  </sheetData>
  <sheetProtection algorithmName="SHA-512" hashValue="OyZifc69XGfnewA4PrlKxjnsrjxW0z/rkb+nuvFhnj0CHZ9+IS30xMpaUbEn7pi4i6weVgB6TaMmGICrXFLB3A==" saltValue="LtyXC0YAr4eiGby/NkHcWw==" spinCount="100000" sheet="1" objects="1" scenarios="1"/>
  <autoFilter ref="A1:G1" xr:uid="{1C9BAA3F-8861-452E-8104-F4F04AC7D983}"/>
  <pageMargins left="0.7" right="0.7" top="0.75" bottom="0.75" header="0.3" footer="0.3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BDE5-E016-4FD8-BAF5-BEA539AD52AF}">
  <sheetPr codeName="Sheet5">
    <tabColor rgb="FF002060"/>
  </sheetPr>
  <dimension ref="A1:L184"/>
  <sheetViews>
    <sheetView tabSelected="1" zoomScale="80" zoomScaleNormal="80" workbookViewId="0">
      <pane ySplit="3" topLeftCell="A4" activePane="bottomLeft" state="frozen"/>
      <selection activeCell="C27" sqref="C27"/>
      <selection pane="bottomLeft" activeCell="Q10" sqref="Q10"/>
    </sheetView>
  </sheetViews>
  <sheetFormatPr defaultRowHeight="12.75" outlineLevelRow="1" x14ac:dyDescent="0.2"/>
  <cols>
    <col min="1" max="1" width="46.7109375" style="1" bestFit="1" customWidth="1"/>
    <col min="2" max="2" width="9.140625" style="1"/>
    <col min="3" max="3" width="10.5703125" style="1" bestFit="1" customWidth="1"/>
    <col min="4" max="16384" width="9.140625" style="1"/>
  </cols>
  <sheetData>
    <row r="1" spans="1:12" ht="16.5" x14ac:dyDescent="0.3">
      <c r="A1" s="11"/>
      <c r="B1" s="11"/>
      <c r="C1" s="35" t="s">
        <v>132</v>
      </c>
      <c r="D1" s="35"/>
      <c r="E1" s="35"/>
      <c r="F1" s="35"/>
      <c r="G1" s="35"/>
      <c r="H1" s="36" t="s">
        <v>133</v>
      </c>
      <c r="I1" s="36"/>
      <c r="J1" s="36"/>
      <c r="K1" s="36"/>
      <c r="L1" s="36"/>
    </row>
    <row r="2" spans="1:12" ht="16.5" x14ac:dyDescent="0.3">
      <c r="A2" s="11"/>
      <c r="B2" s="11"/>
      <c r="C2" s="15">
        <v>2021</v>
      </c>
      <c r="D2" s="15">
        <v>2022</v>
      </c>
      <c r="E2" s="15">
        <v>2023</v>
      </c>
      <c r="F2" s="15">
        <v>2024</v>
      </c>
      <c r="G2" s="15">
        <v>2025</v>
      </c>
      <c r="H2" s="12">
        <v>2026</v>
      </c>
      <c r="I2" s="12">
        <v>2027</v>
      </c>
      <c r="J2" s="12">
        <v>2028</v>
      </c>
      <c r="K2" s="12">
        <v>2029</v>
      </c>
      <c r="L2" s="12">
        <v>2030</v>
      </c>
    </row>
    <row r="3" spans="1:12" ht="16.5" x14ac:dyDescent="0.3">
      <c r="A3" s="13" t="s">
        <v>134</v>
      </c>
      <c r="B3" s="11"/>
      <c r="C3" s="28" t="str">
        <f>IFERROR(IF(ABS(C76)&gt;1,"ERROR","OK"),"OK")</f>
        <v>OK</v>
      </c>
      <c r="D3" s="28" t="str">
        <f t="shared" ref="D3:L3" si="0">IFERROR(IF(ABS(D76)&gt;1,"ERROR","OK"),"OK")</f>
        <v>OK</v>
      </c>
      <c r="E3" s="28" t="str">
        <f t="shared" si="0"/>
        <v>OK</v>
      </c>
      <c r="F3" s="28" t="str">
        <f t="shared" si="0"/>
        <v>OK</v>
      </c>
      <c r="G3" s="28" t="str">
        <f t="shared" si="0"/>
        <v>OK</v>
      </c>
      <c r="H3" s="28" t="str">
        <f t="shared" si="0"/>
        <v>OK</v>
      </c>
      <c r="I3" s="28" t="str">
        <f t="shared" si="0"/>
        <v>OK</v>
      </c>
      <c r="J3" s="28" t="str">
        <f t="shared" si="0"/>
        <v>OK</v>
      </c>
      <c r="K3" s="28" t="str">
        <f t="shared" si="0"/>
        <v>OK</v>
      </c>
      <c r="L3" s="28" t="str">
        <f t="shared" si="0"/>
        <v>OK</v>
      </c>
    </row>
    <row r="6" spans="1:12" ht="17.25" x14ac:dyDescent="0.3">
      <c r="A6" s="14" t="s">
        <v>135</v>
      </c>
      <c r="B6" s="14"/>
      <c r="C6" s="15">
        <v>2021</v>
      </c>
      <c r="D6" s="15">
        <v>2022</v>
      </c>
      <c r="E6" s="15">
        <v>2023</v>
      </c>
      <c r="F6" s="15">
        <v>2024</v>
      </c>
      <c r="G6" s="15">
        <v>2025</v>
      </c>
      <c r="H6" s="12">
        <v>2026</v>
      </c>
      <c r="I6" s="12">
        <v>2027</v>
      </c>
      <c r="J6" s="12">
        <v>2028</v>
      </c>
      <c r="K6" s="12">
        <v>2029</v>
      </c>
      <c r="L6" s="12">
        <v>2030</v>
      </c>
    </row>
    <row r="9" spans="1:12" outlineLevel="1" x14ac:dyDescent="0.2">
      <c r="A9" s="20" t="s">
        <v>136</v>
      </c>
    </row>
    <row r="10" spans="1:12" outlineLevel="1" x14ac:dyDescent="0.2">
      <c r="A10" s="1" t="s">
        <v>137</v>
      </c>
      <c r="D10" s="22">
        <f>D34/C34-1</f>
        <v>0.61403298350824587</v>
      </c>
      <c r="E10" s="22">
        <f t="shared" ref="E10:G10" si="1">E34/D34-1</f>
        <v>2.2293230289069932E-3</v>
      </c>
      <c r="F10" s="22">
        <f t="shared" si="1"/>
        <v>1.2585452658115224</v>
      </c>
      <c r="G10" s="22">
        <f t="shared" si="1"/>
        <v>1.1420340763599355</v>
      </c>
      <c r="H10" s="22">
        <v>0.6</v>
      </c>
      <c r="I10" s="22">
        <v>0.3</v>
      </c>
      <c r="J10" s="22">
        <v>0.18</v>
      </c>
      <c r="K10" s="22">
        <v>0.12</v>
      </c>
      <c r="L10" s="22">
        <v>0.1</v>
      </c>
    </row>
    <row r="11" spans="1:12" outlineLevel="1" x14ac:dyDescent="0.2">
      <c r="A11" s="1" t="s">
        <v>167</v>
      </c>
      <c r="C11" s="22">
        <f>C36/C34</f>
        <v>0.62344827586206897</v>
      </c>
      <c r="D11" s="22">
        <f t="shared" ref="D11:G11" si="2">D36/D34</f>
        <v>0.64929033216913135</v>
      </c>
      <c r="E11" s="22">
        <f t="shared" si="2"/>
        <v>0.56928894490991322</v>
      </c>
      <c r="F11" s="22">
        <f t="shared" si="2"/>
        <v>0.72717573290436954</v>
      </c>
      <c r="G11" s="22">
        <f t="shared" si="2"/>
        <v>0.74988697058169917</v>
      </c>
      <c r="H11" s="22">
        <v>0.74</v>
      </c>
      <c r="I11" s="22">
        <v>0.72</v>
      </c>
      <c r="J11" s="22">
        <v>0.7</v>
      </c>
      <c r="K11" s="22">
        <v>0.68</v>
      </c>
      <c r="L11" s="22">
        <v>0.68</v>
      </c>
    </row>
    <row r="12" spans="1:12" outlineLevel="1" x14ac:dyDescent="0.2">
      <c r="A12" s="1" t="s">
        <v>143</v>
      </c>
      <c r="C12" s="22">
        <f>C38/C34</f>
        <v>0.11634182908545727</v>
      </c>
      <c r="D12" s="22">
        <f t="shared" ref="D12:G12" si="3">D38/D34</f>
        <v>8.0478561343538674E-2</v>
      </c>
      <c r="E12" s="22">
        <f t="shared" si="3"/>
        <v>9.0457477570994288E-2</v>
      </c>
      <c r="F12" s="22">
        <f t="shared" si="3"/>
        <v>4.3563901382095135E-2</v>
      </c>
      <c r="G12" s="22">
        <f t="shared" si="3"/>
        <v>2.6751572833091947E-2</v>
      </c>
      <c r="H12" s="22">
        <v>0.04</v>
      </c>
      <c r="I12" s="37">
        <v>0.05</v>
      </c>
      <c r="J12" s="22">
        <v>0.06</v>
      </c>
      <c r="K12" s="22">
        <v>7.0000000000000007E-2</v>
      </c>
      <c r="L12" s="22">
        <v>7.0000000000000007E-2</v>
      </c>
    </row>
    <row r="13" spans="1:12" outlineLevel="1" x14ac:dyDescent="0.2">
      <c r="A13" s="1" t="s">
        <v>144</v>
      </c>
      <c r="C13" s="22">
        <f>C37/C34</f>
        <v>0.2353223388305847</v>
      </c>
      <c r="D13" s="22">
        <f t="shared" ref="D13:G13" si="4">D37/D34</f>
        <v>0.19573456193802483</v>
      </c>
      <c r="E13" s="22">
        <f t="shared" si="4"/>
        <v>0.27207681471046191</v>
      </c>
      <c r="F13" s="22">
        <f t="shared" si="4"/>
        <v>0.14239519385443683</v>
      </c>
      <c r="G13" s="22">
        <f t="shared" si="4"/>
        <v>9.8960129351632606E-2</v>
      </c>
      <c r="H13" s="22">
        <v>0.11</v>
      </c>
      <c r="I13" s="22">
        <v>0.13</v>
      </c>
      <c r="J13" s="22">
        <v>0.15</v>
      </c>
      <c r="K13" s="22">
        <v>0.15</v>
      </c>
      <c r="L13" s="22">
        <v>0.17</v>
      </c>
    </row>
    <row r="14" spans="1:12" outlineLevel="1" x14ac:dyDescent="0.2">
      <c r="A14" s="1" t="s">
        <v>173</v>
      </c>
      <c r="C14" s="18">
        <f>C39</f>
        <v>0</v>
      </c>
      <c r="D14" s="18">
        <f t="shared" ref="D14:G14" si="5">D39</f>
        <v>0</v>
      </c>
      <c r="E14" s="18">
        <f t="shared" si="5"/>
        <v>1353</v>
      </c>
      <c r="F14" s="18">
        <f t="shared" si="5"/>
        <v>0</v>
      </c>
      <c r="G14" s="18">
        <f t="shared" si="5"/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outlineLevel="1" x14ac:dyDescent="0.2">
      <c r="A15" s="1" t="s">
        <v>138</v>
      </c>
      <c r="C15" s="18">
        <f>C57/C34*C28</f>
        <v>53.168515742128939</v>
      </c>
      <c r="D15" s="18">
        <f>D57/D34*D28</f>
        <v>63.061975180203611</v>
      </c>
      <c r="E15" s="18">
        <f>E57/E34*E28</f>
        <v>51.785237636242307</v>
      </c>
      <c r="F15" s="18">
        <f>F57/F34*F28</f>
        <v>59.906683956534586</v>
      </c>
      <c r="G15" s="18">
        <f>G57/G34*G28</f>
        <v>64.512785734537957</v>
      </c>
      <c r="H15" s="1">
        <v>62</v>
      </c>
      <c r="I15" s="1">
        <v>62</v>
      </c>
      <c r="J15" s="1">
        <v>63</v>
      </c>
      <c r="K15" s="1">
        <v>63</v>
      </c>
      <c r="L15" s="1">
        <v>63</v>
      </c>
    </row>
    <row r="16" spans="1:12" outlineLevel="1" x14ac:dyDescent="0.2">
      <c r="A16" s="1" t="s">
        <v>139</v>
      </c>
      <c r="C16" s="18">
        <f>C58/C35*C28</f>
        <v>106.14588310240484</v>
      </c>
      <c r="D16" s="18">
        <f>D58/D35*D28</f>
        <v>100.73365822650703</v>
      </c>
      <c r="E16" s="18">
        <f>E58/E35*E28</f>
        <v>162.079101394388</v>
      </c>
      <c r="F16" s="18">
        <f>F58/F35*F28</f>
        <v>115.99362252572048</v>
      </c>
      <c r="G16" s="18">
        <f>G58/G35*G28</f>
        <v>112.72404179049603</v>
      </c>
      <c r="H16" s="1">
        <v>110</v>
      </c>
      <c r="I16" s="1">
        <v>108</v>
      </c>
      <c r="J16" s="1">
        <v>105</v>
      </c>
      <c r="K16" s="1">
        <v>103</v>
      </c>
      <c r="L16" s="1">
        <v>100</v>
      </c>
    </row>
    <row r="17" spans="1:12" outlineLevel="1" x14ac:dyDescent="0.2">
      <c r="A17" s="1" t="s">
        <v>140</v>
      </c>
      <c r="C17" s="18">
        <f>C64/C35*C28</f>
        <v>69.814460901417419</v>
      </c>
      <c r="D17" s="18">
        <f>D64/D35*D28</f>
        <v>68.947452060599645</v>
      </c>
      <c r="E17" s="18">
        <f>E64/E35*E28</f>
        <v>37.480203133069374</v>
      </c>
      <c r="F17" s="18">
        <f>F64/F35*F28</f>
        <v>59.270501173214605</v>
      </c>
      <c r="G17" s="18">
        <f>G64/G35*G28</f>
        <v>70.564355525598216</v>
      </c>
      <c r="H17" s="1">
        <v>68</v>
      </c>
      <c r="I17" s="1">
        <v>68</v>
      </c>
      <c r="J17" s="1">
        <v>67</v>
      </c>
      <c r="K17" s="1">
        <v>67</v>
      </c>
      <c r="L17" s="1">
        <v>67</v>
      </c>
    </row>
    <row r="18" spans="1:12" outlineLevel="1" x14ac:dyDescent="0.2">
      <c r="A18" s="1" t="s">
        <v>174</v>
      </c>
      <c r="C18" s="22">
        <f>-C96/C34</f>
        <v>6.7646176911544231E-2</v>
      </c>
      <c r="D18" s="22">
        <f>-D96/D34</f>
        <v>3.6263654603552055E-2</v>
      </c>
      <c r="E18" s="22">
        <f>-E96/E34</f>
        <v>6.7954326388373995E-2</v>
      </c>
      <c r="F18" s="22">
        <f>-F96/F34</f>
        <v>1.7547027346442992E-2</v>
      </c>
      <c r="G18" s="22">
        <f>-G96/G34</f>
        <v>2.4797504923484832E-2</v>
      </c>
      <c r="H18" s="23">
        <v>3.5000000000000003E-2</v>
      </c>
      <c r="I18" s="37">
        <v>0.04</v>
      </c>
      <c r="J18" s="37">
        <v>0.04</v>
      </c>
      <c r="K18" s="23">
        <v>4.2000000000000003E-2</v>
      </c>
      <c r="L18" s="23">
        <v>4.4999999999999998E-2</v>
      </c>
    </row>
    <row r="19" spans="1:12" outlineLevel="1" x14ac:dyDescent="0.2">
      <c r="A19" s="1" t="s">
        <v>175</v>
      </c>
      <c r="C19" s="22">
        <f>C83/C59</f>
        <v>0.51093531875290832</v>
      </c>
      <c r="D19" s="22">
        <f t="shared" ref="D19:G19" si="6">D83/D59</f>
        <v>0.42260619150467965</v>
      </c>
      <c r="E19" s="22">
        <f t="shared" si="6"/>
        <v>0.40556868925663253</v>
      </c>
      <c r="F19" s="22">
        <f t="shared" si="6"/>
        <v>0.38528359734287176</v>
      </c>
      <c r="G19" s="22">
        <f t="shared" si="6"/>
        <v>0.29667356358427505</v>
      </c>
      <c r="H19" s="22">
        <v>0.32</v>
      </c>
      <c r="I19" s="22">
        <v>0.32</v>
      </c>
      <c r="J19" s="22">
        <v>0.31</v>
      </c>
      <c r="K19" s="22">
        <v>0.3</v>
      </c>
      <c r="L19" s="22">
        <v>0.3</v>
      </c>
    </row>
    <row r="20" spans="1:12" outlineLevel="1" x14ac:dyDescent="0.2">
      <c r="A20" s="1" t="s">
        <v>176</v>
      </c>
      <c r="C20" s="22">
        <f>C84/C34</f>
        <v>8.3778110944527737E-2</v>
      </c>
      <c r="D20" s="22">
        <f>D84/D34</f>
        <v>7.4459389165490081E-2</v>
      </c>
      <c r="E20" s="22">
        <f>E84/E34</f>
        <v>0.10043004374582931</v>
      </c>
      <c r="F20" s="22">
        <f>F84/F34</f>
        <v>5.8254817635665278E-2</v>
      </c>
      <c r="G20" s="22">
        <f>G84/G34</f>
        <v>3.629968505023104E-2</v>
      </c>
      <c r="H20" s="22">
        <v>0.04</v>
      </c>
      <c r="I20" s="23">
        <v>3.7999999999999999E-2</v>
      </c>
      <c r="J20" s="23">
        <v>3.5000000000000003E-2</v>
      </c>
      <c r="K20" s="23">
        <v>3.3000000000000002E-2</v>
      </c>
      <c r="L20" s="22">
        <v>0.03</v>
      </c>
    </row>
    <row r="21" spans="1:12" outlineLevel="1" x14ac:dyDescent="0.2">
      <c r="A21" s="1" t="s">
        <v>168</v>
      </c>
      <c r="C21" s="22">
        <f>C45/C44</f>
        <v>1.7464277613971423E-2</v>
      </c>
      <c r="D21" s="22">
        <f t="shared" ref="D21:G21" si="7">D45/D44</f>
        <v>1.9012171813700834E-2</v>
      </c>
      <c r="E21" s="22">
        <f t="shared" si="7"/>
        <v>-4.4726142071274816E-2</v>
      </c>
      <c r="F21" s="22">
        <f t="shared" si="7"/>
        <v>0.1199952687917677</v>
      </c>
      <c r="G21" s="22">
        <f t="shared" si="7"/>
        <v>0.13264941803727417</v>
      </c>
      <c r="H21" s="22">
        <v>0.14000000000000001</v>
      </c>
      <c r="I21" s="22">
        <v>0.15</v>
      </c>
      <c r="J21" s="22">
        <v>0.16</v>
      </c>
      <c r="K21" s="22">
        <v>0.16</v>
      </c>
      <c r="L21" s="22">
        <v>0.17</v>
      </c>
    </row>
    <row r="22" spans="1:12" outlineLevel="1" x14ac:dyDescent="0.2">
      <c r="A22" s="1" t="s">
        <v>169</v>
      </c>
      <c r="C22" s="22">
        <f>C130/C114</f>
        <v>5.2312775330396475E-3</v>
      </c>
      <c r="D22" s="22">
        <f t="shared" ref="D22:G22" si="8">D130/D114</f>
        <v>3.4238488783943331E-2</v>
      </c>
      <c r="E22" s="22">
        <f t="shared" si="8"/>
        <v>0.13417085427135678</v>
      </c>
      <c r="F22" s="22">
        <f t="shared" si="8"/>
        <v>0.25553260548834467</v>
      </c>
      <c r="G22" s="22">
        <f t="shared" si="8"/>
        <v>0.24532967032967032</v>
      </c>
      <c r="H22" s="22">
        <v>0.2</v>
      </c>
      <c r="I22" s="37">
        <v>0.13</v>
      </c>
      <c r="J22" s="22">
        <v>0.12</v>
      </c>
      <c r="K22" s="37">
        <v>0.11</v>
      </c>
      <c r="L22" s="22">
        <v>0.1</v>
      </c>
    </row>
    <row r="23" spans="1:12" outlineLevel="1" x14ac:dyDescent="0.2">
      <c r="A23" s="1" t="s">
        <v>170</v>
      </c>
      <c r="C23" s="22">
        <f>-C131/C126</f>
        <v>9.241587142139629E-2</v>
      </c>
      <c r="D23" s="22">
        <f t="shared" ref="D23:G23" si="9">-D131/D126</f>
        <v>3.3893436737038631E-2</v>
      </c>
      <c r="E23" s="22">
        <f t="shared" si="9"/>
        <v>2.3935684268225836E-2</v>
      </c>
      <c r="F23" s="22">
        <f t="shared" si="9"/>
        <v>2.3463891171368576E-2</v>
      </c>
      <c r="G23" s="22">
        <f t="shared" si="9"/>
        <v>2.5440313111545987E-2</v>
      </c>
      <c r="H23" s="22">
        <v>0.03</v>
      </c>
      <c r="I23" s="22">
        <v>0.03</v>
      </c>
      <c r="J23" s="22">
        <v>0.03</v>
      </c>
      <c r="K23" s="22">
        <v>0.03</v>
      </c>
      <c r="L23" s="22">
        <v>0.03</v>
      </c>
    </row>
    <row r="24" spans="1:12" outlineLevel="1" x14ac:dyDescent="0.2">
      <c r="A24" s="1" t="s">
        <v>311</v>
      </c>
      <c r="C24" s="22">
        <f t="shared" ref="C24:G24" si="10">C106/-C46</f>
        <v>0</v>
      </c>
      <c r="D24" s="22">
        <f t="shared" si="10"/>
        <v>0</v>
      </c>
      <c r="E24" s="22">
        <f t="shared" si="10"/>
        <v>2.2983058608058609</v>
      </c>
      <c r="F24" s="22">
        <f t="shared" si="10"/>
        <v>0.3203293010752688</v>
      </c>
      <c r="G24" s="22">
        <f t="shared" si="10"/>
        <v>0.46248627881448956</v>
      </c>
      <c r="H24" s="22">
        <v>0.5</v>
      </c>
      <c r="I24" s="22">
        <v>0.5</v>
      </c>
      <c r="J24" s="22">
        <v>0.5</v>
      </c>
      <c r="K24" s="22">
        <v>0.5</v>
      </c>
      <c r="L24" s="22">
        <v>0.5</v>
      </c>
    </row>
    <row r="25" spans="1:12" outlineLevel="1" x14ac:dyDescent="0.2">
      <c r="A25" s="1" t="s">
        <v>171</v>
      </c>
      <c r="C25" s="22">
        <f>-C107/C46</f>
        <v>9.1181902123730382E-2</v>
      </c>
      <c r="D25" s="22">
        <f>-D107/D46</f>
        <v>4.0914684167350286E-2</v>
      </c>
      <c r="E25" s="22">
        <f>-E107/E46</f>
        <v>9.1117216117216113E-2</v>
      </c>
      <c r="F25" s="22">
        <f>-F107/F46</f>
        <v>1.3272849462365592E-2</v>
      </c>
      <c r="G25" s="22">
        <f>-G107/G46</f>
        <v>1.1443468715697036E-2</v>
      </c>
      <c r="H25" s="22">
        <v>0.02</v>
      </c>
      <c r="I25" s="22">
        <v>0.02</v>
      </c>
      <c r="J25" s="22">
        <v>0.03</v>
      </c>
      <c r="K25" s="22">
        <v>0.04</v>
      </c>
      <c r="L25" s="22">
        <v>0.04</v>
      </c>
    </row>
    <row r="26" spans="1:12" outlineLevel="1" x14ac:dyDescent="0.2">
      <c r="A26" s="1" t="s">
        <v>177</v>
      </c>
      <c r="C26" s="22">
        <f>C66/C40</f>
        <v>0.29416780354706684</v>
      </c>
      <c r="D26" s="22">
        <f>D66/D40</f>
        <v>0.34328759752488563</v>
      </c>
      <c r="E26" s="22">
        <f>E66/E40</f>
        <v>0.37010420409629896</v>
      </c>
      <c r="F26" s="22">
        <f>F66/F40</f>
        <v>0.58981375231706246</v>
      </c>
      <c r="G26" s="22">
        <f>G66/G40</f>
        <v>0.71545260591283144</v>
      </c>
      <c r="H26" s="22">
        <v>0.7</v>
      </c>
      <c r="I26" s="22">
        <v>0.65</v>
      </c>
      <c r="J26" s="22">
        <v>0.6</v>
      </c>
      <c r="K26" s="22">
        <v>0.6</v>
      </c>
      <c r="L26" s="22">
        <v>0.6</v>
      </c>
    </row>
    <row r="27" spans="1:12" outlineLevel="1" x14ac:dyDescent="0.2">
      <c r="A27" s="1" t="s">
        <v>145</v>
      </c>
      <c r="C27" s="18">
        <f>C104+C105</f>
        <v>4968</v>
      </c>
      <c r="D27" s="18">
        <f>D104+D105</f>
        <v>3977</v>
      </c>
      <c r="E27" s="18">
        <f>E104+E105</f>
        <v>0</v>
      </c>
      <c r="F27" s="18">
        <f>F104+F105</f>
        <v>-1250</v>
      </c>
      <c r="G27" s="18">
        <f>G104+G105</f>
        <v>-1250</v>
      </c>
      <c r="H27" s="18">
        <v>-2000</v>
      </c>
      <c r="I27" s="18">
        <v>-2000</v>
      </c>
      <c r="J27" s="18">
        <v>-1000</v>
      </c>
      <c r="K27" s="18">
        <v>-1000</v>
      </c>
      <c r="L27" s="18">
        <v>-1000</v>
      </c>
    </row>
    <row r="28" spans="1:12" outlineLevel="1" x14ac:dyDescent="0.2">
      <c r="A28" s="1" t="s">
        <v>141</v>
      </c>
      <c r="C28" s="1">
        <v>365</v>
      </c>
      <c r="D28" s="1">
        <v>365</v>
      </c>
      <c r="E28" s="1">
        <v>365</v>
      </c>
      <c r="F28" s="1">
        <v>365</v>
      </c>
      <c r="G28" s="1">
        <v>365</v>
      </c>
      <c r="H28" s="1">
        <v>365</v>
      </c>
      <c r="I28" s="1">
        <v>365</v>
      </c>
      <c r="J28" s="1">
        <v>365</v>
      </c>
      <c r="K28" s="1">
        <v>365</v>
      </c>
      <c r="L28" s="1">
        <v>365</v>
      </c>
    </row>
    <row r="29" spans="1:12" outlineLevel="1" x14ac:dyDescent="0.2">
      <c r="C29" s="27"/>
    </row>
    <row r="31" spans="1:12" ht="17.25" x14ac:dyDescent="0.3">
      <c r="A31" s="14" t="s">
        <v>93</v>
      </c>
      <c r="B31" s="14"/>
      <c r="C31" s="15">
        <v>2021</v>
      </c>
      <c r="D31" s="15">
        <v>2022</v>
      </c>
      <c r="E31" s="15">
        <v>2023</v>
      </c>
      <c r="F31" s="15">
        <v>2024</v>
      </c>
      <c r="G31" s="15">
        <v>2025</v>
      </c>
      <c r="H31" s="12">
        <v>2026</v>
      </c>
      <c r="I31" s="12">
        <v>2027</v>
      </c>
      <c r="J31" s="12">
        <v>2028</v>
      </c>
      <c r="K31" s="12">
        <v>2029</v>
      </c>
      <c r="L31" s="12">
        <v>2030</v>
      </c>
    </row>
    <row r="34" spans="1:12" ht="16.5" outlineLevel="1" x14ac:dyDescent="0.3">
      <c r="A34" s="13" t="s">
        <v>94</v>
      </c>
      <c r="C34" s="19">
        <f>'Raw P&amp;L'!B2</f>
        <v>16675</v>
      </c>
      <c r="D34" s="19">
        <f>'Raw P&amp;L'!C2</f>
        <v>26914</v>
      </c>
      <c r="E34" s="19">
        <f>'Raw P&amp;L'!D2</f>
        <v>26974</v>
      </c>
      <c r="F34" s="19">
        <f>'Raw P&amp;L'!E2</f>
        <v>60922</v>
      </c>
      <c r="G34" s="19">
        <f>'Raw P&amp;L'!F2</f>
        <v>130497</v>
      </c>
      <c r="H34" s="19">
        <f>G34*(1+H10)</f>
        <v>208795.2</v>
      </c>
      <c r="I34" s="19">
        <f>H34*(1+I10)</f>
        <v>271433.76</v>
      </c>
      <c r="J34" s="19">
        <f>I34*(1+J10)</f>
        <v>320291.83679999999</v>
      </c>
      <c r="K34" s="19">
        <f>J34*(1+K10)</f>
        <v>358726.85721600003</v>
      </c>
      <c r="L34" s="19">
        <f>K34*(1+L10)</f>
        <v>394599.54293760005</v>
      </c>
    </row>
    <row r="35" spans="1:12" ht="16.5" outlineLevel="1" x14ac:dyDescent="0.3">
      <c r="A35" s="11" t="s">
        <v>95</v>
      </c>
      <c r="C35" s="18">
        <f>'Raw P&amp;L'!B3</f>
        <v>6279</v>
      </c>
      <c r="D35" s="18">
        <f>'Raw P&amp;L'!C3</f>
        <v>9439</v>
      </c>
      <c r="E35" s="18">
        <f>'Raw P&amp;L'!D3</f>
        <v>11618</v>
      </c>
      <c r="F35" s="18">
        <f>'Raw P&amp;L'!E3</f>
        <v>16621</v>
      </c>
      <c r="G35" s="18">
        <f>'Raw P&amp;L'!F3</f>
        <v>32639</v>
      </c>
      <c r="H35" s="18">
        <f>H34*(1-H11)</f>
        <v>54286.752000000008</v>
      </c>
      <c r="I35" s="18">
        <f>I34*(1-I11)</f>
        <v>76001.452800000014</v>
      </c>
      <c r="J35" s="18">
        <f>J34*(1-J11)</f>
        <v>96087.551040000006</v>
      </c>
      <c r="K35" s="18">
        <f>K34*(1-K11)</f>
        <v>114792.59430911999</v>
      </c>
      <c r="L35" s="18">
        <f>L34*(1-L11)</f>
        <v>126271.85374003199</v>
      </c>
    </row>
    <row r="36" spans="1:12" ht="16.5" outlineLevel="1" x14ac:dyDescent="0.3">
      <c r="A36" s="13" t="s">
        <v>96</v>
      </c>
      <c r="C36" s="19">
        <f>C34-C35</f>
        <v>10396</v>
      </c>
      <c r="D36" s="19">
        <f t="shared" ref="D36:G36" si="11">D34-D35</f>
        <v>17475</v>
      </c>
      <c r="E36" s="19">
        <f t="shared" si="11"/>
        <v>15356</v>
      </c>
      <c r="F36" s="19">
        <f t="shared" si="11"/>
        <v>44301</v>
      </c>
      <c r="G36" s="19">
        <f t="shared" si="11"/>
        <v>97858</v>
      </c>
      <c r="H36" s="19">
        <f>H34-H35</f>
        <v>154508.448</v>
      </c>
      <c r="I36" s="19">
        <f t="shared" ref="I36:L36" si="12">I34-I35</f>
        <v>195432.30719999998</v>
      </c>
      <c r="J36" s="19">
        <f t="shared" si="12"/>
        <v>224204.28576</v>
      </c>
      <c r="K36" s="19">
        <f t="shared" si="12"/>
        <v>243934.26290688006</v>
      </c>
      <c r="L36" s="19">
        <f t="shared" si="12"/>
        <v>268327.68919756805</v>
      </c>
    </row>
    <row r="37" spans="1:12" ht="16.5" outlineLevel="1" x14ac:dyDescent="0.3">
      <c r="A37" s="11" t="s">
        <v>120</v>
      </c>
      <c r="C37" s="18">
        <f>'Raw P&amp;L'!B6</f>
        <v>3924</v>
      </c>
      <c r="D37" s="18">
        <f>'Raw P&amp;L'!C6</f>
        <v>5268</v>
      </c>
      <c r="E37" s="18">
        <f>'Raw P&amp;L'!D6</f>
        <v>7339</v>
      </c>
      <c r="F37" s="18">
        <f>'Raw P&amp;L'!E6</f>
        <v>8675</v>
      </c>
      <c r="G37" s="18">
        <f>'Raw P&amp;L'!F6</f>
        <v>12914</v>
      </c>
      <c r="H37" s="18">
        <f>H34*H13</f>
        <v>22967.472000000002</v>
      </c>
      <c r="I37" s="18">
        <f>I34*I13</f>
        <v>35286.388800000001</v>
      </c>
      <c r="J37" s="18">
        <f>J34*J13</f>
        <v>48043.775519999996</v>
      </c>
      <c r="K37" s="18">
        <f>K34*K13</f>
        <v>53809.028582400002</v>
      </c>
      <c r="L37" s="18">
        <f>L34*L13</f>
        <v>67081.922299392012</v>
      </c>
    </row>
    <row r="38" spans="1:12" ht="16.5" outlineLevel="1" x14ac:dyDescent="0.3">
      <c r="A38" s="11" t="s">
        <v>112</v>
      </c>
      <c r="C38" s="18">
        <f>'Raw P&amp;L'!B7</f>
        <v>1940</v>
      </c>
      <c r="D38" s="18">
        <f>'Raw P&amp;L'!C7</f>
        <v>2166</v>
      </c>
      <c r="E38" s="18">
        <f>'Raw P&amp;L'!D7</f>
        <v>2440</v>
      </c>
      <c r="F38" s="18">
        <f>'Raw P&amp;L'!E7</f>
        <v>2654</v>
      </c>
      <c r="G38" s="18">
        <f>'Raw P&amp;L'!F7</f>
        <v>3491</v>
      </c>
      <c r="H38" s="18">
        <f>H34*H12</f>
        <v>8351.8080000000009</v>
      </c>
      <c r="I38" s="18">
        <f>I34*I12</f>
        <v>13571.688000000002</v>
      </c>
      <c r="J38" s="18">
        <f>J34*J12</f>
        <v>19217.510208</v>
      </c>
      <c r="K38" s="18">
        <f>K34*K12</f>
        <v>25110.880005120005</v>
      </c>
      <c r="L38" s="18">
        <f>L34*L12</f>
        <v>27621.968005632007</v>
      </c>
    </row>
    <row r="39" spans="1:12" ht="16.5" outlineLevel="1" x14ac:dyDescent="0.3">
      <c r="A39" s="11" t="s">
        <v>131</v>
      </c>
      <c r="C39" s="18">
        <f>'Raw P&amp;L'!B8</f>
        <v>0</v>
      </c>
      <c r="D39" s="18">
        <f>'Raw P&amp;L'!C8</f>
        <v>0</v>
      </c>
      <c r="E39" s="18">
        <f>'Raw P&amp;L'!D8</f>
        <v>1353</v>
      </c>
      <c r="F39" s="18">
        <f>'Raw P&amp;L'!E8</f>
        <v>0</v>
      </c>
      <c r="G39" s="18">
        <f>'Raw P&amp;L'!F8</f>
        <v>0</v>
      </c>
      <c r="H39" s="18">
        <f>H14</f>
        <v>0</v>
      </c>
      <c r="I39" s="18">
        <f>I14</f>
        <v>0</v>
      </c>
      <c r="J39" s="18">
        <f>J14</f>
        <v>0</v>
      </c>
      <c r="K39" s="18">
        <f>K14</f>
        <v>0</v>
      </c>
      <c r="L39" s="18">
        <f>L14</f>
        <v>0</v>
      </c>
    </row>
    <row r="40" spans="1:12" ht="16.5" outlineLevel="1" x14ac:dyDescent="0.3">
      <c r="A40" s="13" t="s">
        <v>97</v>
      </c>
      <c r="C40" s="19">
        <f>SUM(C37:C39)</f>
        <v>5864</v>
      </c>
      <c r="D40" s="19">
        <f t="shared" ref="D40:G40" si="13">SUM(D37:D39)</f>
        <v>7434</v>
      </c>
      <c r="E40" s="19">
        <f t="shared" si="13"/>
        <v>11132</v>
      </c>
      <c r="F40" s="19">
        <f t="shared" si="13"/>
        <v>11329</v>
      </c>
      <c r="G40" s="19">
        <f t="shared" si="13"/>
        <v>16405</v>
      </c>
      <c r="H40" s="19">
        <f t="shared" ref="H40:L40" si="14">SUM(H37:H39)</f>
        <v>31319.280000000002</v>
      </c>
      <c r="I40" s="19">
        <f t="shared" si="14"/>
        <v>48858.076800000003</v>
      </c>
      <c r="J40" s="19">
        <f t="shared" si="14"/>
        <v>67261.285727999988</v>
      </c>
      <c r="K40" s="19">
        <f t="shared" si="14"/>
        <v>78919.908587520011</v>
      </c>
      <c r="L40" s="19">
        <f t="shared" si="14"/>
        <v>94703.890305024019</v>
      </c>
    </row>
    <row r="41" spans="1:12" ht="16.5" outlineLevel="1" x14ac:dyDescent="0.3">
      <c r="A41" s="13" t="s">
        <v>98</v>
      </c>
      <c r="C41" s="19">
        <f>C36-C40</f>
        <v>4532</v>
      </c>
      <c r="D41" s="19">
        <f t="shared" ref="D41:G41" si="15">D36-D40</f>
        <v>10041</v>
      </c>
      <c r="E41" s="19">
        <f t="shared" si="15"/>
        <v>4224</v>
      </c>
      <c r="F41" s="19">
        <f t="shared" si="15"/>
        <v>32972</v>
      </c>
      <c r="G41" s="19">
        <f t="shared" si="15"/>
        <v>81453</v>
      </c>
      <c r="H41" s="19">
        <f t="shared" ref="H41:L41" si="16">H36-H40</f>
        <v>123189.16800000001</v>
      </c>
      <c r="I41" s="19">
        <f t="shared" si="16"/>
        <v>146574.23039999997</v>
      </c>
      <c r="J41" s="19">
        <f t="shared" si="16"/>
        <v>156943.00003200001</v>
      </c>
      <c r="K41" s="19">
        <f t="shared" si="16"/>
        <v>165014.35431936005</v>
      </c>
      <c r="L41" s="19">
        <f t="shared" si="16"/>
        <v>173623.79889254403</v>
      </c>
    </row>
    <row r="42" spans="1:12" ht="16.5" outlineLevel="1" x14ac:dyDescent="0.3">
      <c r="A42" s="13" t="s">
        <v>178</v>
      </c>
      <c r="C42" s="19">
        <f>C132</f>
        <v>-127</v>
      </c>
      <c r="D42" s="19">
        <f t="shared" ref="D42:G42" si="17">D132</f>
        <v>-207</v>
      </c>
      <c r="E42" s="19">
        <f t="shared" si="17"/>
        <v>5</v>
      </c>
      <c r="F42" s="19">
        <f t="shared" si="17"/>
        <v>609</v>
      </c>
      <c r="G42" s="19">
        <f t="shared" si="17"/>
        <v>1539</v>
      </c>
      <c r="H42" s="19">
        <f>H132</f>
        <v>1463.9100000000003</v>
      </c>
      <c r="I42" s="19">
        <f t="shared" ref="I42:L42" si="18">I132</f>
        <v>2628.9416596878882</v>
      </c>
      <c r="J42" s="19">
        <f t="shared" si="18"/>
        <v>4283.1963946746473</v>
      </c>
      <c r="K42" s="19">
        <f t="shared" si="18"/>
        <v>5433.2505204348681</v>
      </c>
      <c r="L42" s="19">
        <f t="shared" si="18"/>
        <v>6137.1589445966656</v>
      </c>
    </row>
    <row r="43" spans="1:12" ht="16.5" outlineLevel="1" x14ac:dyDescent="0.3">
      <c r="A43" s="11" t="s">
        <v>250</v>
      </c>
      <c r="C43" s="18">
        <f>'Raw P&amp;L'!B13</f>
        <v>4</v>
      </c>
      <c r="D43" s="18">
        <f>'Raw P&amp;L'!C13</f>
        <v>107</v>
      </c>
      <c r="E43" s="18">
        <f>'Raw P&amp;L'!D13</f>
        <v>-48</v>
      </c>
      <c r="F43" s="18">
        <f>'Raw P&amp;L'!E13</f>
        <v>237</v>
      </c>
      <c r="G43" s="18">
        <f>'Raw P&amp;L'!F13</f>
        <v>1034</v>
      </c>
      <c r="H43" s="1">
        <v>300</v>
      </c>
      <c r="I43" s="1">
        <v>300</v>
      </c>
      <c r="J43" s="1">
        <v>300</v>
      </c>
      <c r="K43" s="1">
        <v>300</v>
      </c>
      <c r="L43" s="1">
        <v>300</v>
      </c>
    </row>
    <row r="44" spans="1:12" ht="16.5" outlineLevel="1" x14ac:dyDescent="0.3">
      <c r="A44" s="13" t="s">
        <v>99</v>
      </c>
      <c r="C44" s="19">
        <f>SUM(C41:C43)</f>
        <v>4409</v>
      </c>
      <c r="D44" s="19">
        <f>SUM(D41:D43)</f>
        <v>9941</v>
      </c>
      <c r="E44" s="19">
        <f>SUM(E41:E43)</f>
        <v>4181</v>
      </c>
      <c r="F44" s="19">
        <f>SUM(F41:F43)</f>
        <v>33818</v>
      </c>
      <c r="G44" s="19">
        <f>SUM(G41:G43)</f>
        <v>84026</v>
      </c>
      <c r="H44" s="19">
        <f t="shared" ref="H44:L44" si="19">SUM(H41:H43)</f>
        <v>124953.07800000001</v>
      </c>
      <c r="I44" s="19">
        <f t="shared" si="19"/>
        <v>149503.17205968787</v>
      </c>
      <c r="J44" s="19">
        <f t="shared" si="19"/>
        <v>161526.19642667467</v>
      </c>
      <c r="K44" s="19">
        <f t="shared" si="19"/>
        <v>170747.60483979492</v>
      </c>
      <c r="L44" s="19">
        <f t="shared" si="19"/>
        <v>180060.95783714068</v>
      </c>
    </row>
    <row r="45" spans="1:12" ht="16.5" outlineLevel="1" x14ac:dyDescent="0.3">
      <c r="A45" s="11" t="s">
        <v>100</v>
      </c>
      <c r="C45" s="18">
        <f>'Raw P&amp;L'!B16</f>
        <v>77</v>
      </c>
      <c r="D45" s="18">
        <f>'Raw P&amp;L'!C16</f>
        <v>189</v>
      </c>
      <c r="E45" s="18">
        <f>'Raw P&amp;L'!D16</f>
        <v>-187</v>
      </c>
      <c r="F45" s="18">
        <f>'Raw P&amp;L'!E16</f>
        <v>4058</v>
      </c>
      <c r="G45" s="18">
        <f>'Raw P&amp;L'!F16</f>
        <v>11146</v>
      </c>
      <c r="H45" s="18">
        <f>H44*H21</f>
        <v>17493.430920000003</v>
      </c>
      <c r="I45" s="18">
        <f>I44*I21</f>
        <v>22425.475808953179</v>
      </c>
      <c r="J45" s="18">
        <f>J44*J21</f>
        <v>25844.191428267946</v>
      </c>
      <c r="K45" s="18">
        <f>K44*K21</f>
        <v>27319.616774367187</v>
      </c>
      <c r="L45" s="18">
        <f>L44*L21</f>
        <v>30610.362832313916</v>
      </c>
    </row>
    <row r="46" spans="1:12" ht="16.5" outlineLevel="1" x14ac:dyDescent="0.3">
      <c r="A46" s="13" t="s">
        <v>101</v>
      </c>
      <c r="C46" s="19">
        <f>C44-C45</f>
        <v>4332</v>
      </c>
      <c r="D46" s="19">
        <f t="shared" ref="D46:L46" si="20">D44-D45</f>
        <v>9752</v>
      </c>
      <c r="E46" s="19">
        <f t="shared" si="20"/>
        <v>4368</v>
      </c>
      <c r="F46" s="19">
        <f t="shared" si="20"/>
        <v>29760</v>
      </c>
      <c r="G46" s="19">
        <f t="shared" si="20"/>
        <v>72880</v>
      </c>
      <c r="H46" s="19">
        <f t="shared" si="20"/>
        <v>107459.64708000001</v>
      </c>
      <c r="I46" s="19">
        <f t="shared" si="20"/>
        <v>127077.69625073469</v>
      </c>
      <c r="J46" s="19">
        <f t="shared" si="20"/>
        <v>135682.00499840672</v>
      </c>
      <c r="K46" s="19">
        <f t="shared" si="20"/>
        <v>143427.98806542772</v>
      </c>
      <c r="L46" s="19">
        <f t="shared" si="20"/>
        <v>149450.59500482676</v>
      </c>
    </row>
    <row r="47" spans="1:12" ht="16.5" outlineLevel="1" x14ac:dyDescent="0.3">
      <c r="A47" s="13"/>
      <c r="H47" s="19"/>
      <c r="I47" s="19"/>
      <c r="J47" s="19"/>
      <c r="K47" s="19"/>
      <c r="L47" s="19"/>
    </row>
    <row r="48" spans="1:12" ht="16.5" outlineLevel="1" x14ac:dyDescent="0.3">
      <c r="A48" s="13" t="s">
        <v>165</v>
      </c>
      <c r="C48" s="19">
        <f>'Raw Cash Flow'!C5</f>
        <v>1098</v>
      </c>
      <c r="D48" s="19">
        <f>'Raw Cash Flow'!D5</f>
        <v>1174</v>
      </c>
      <c r="E48" s="19">
        <f>'Raw Cash Flow'!E5</f>
        <v>1544</v>
      </c>
      <c r="F48" s="19">
        <f>'Raw Cash Flow'!F5</f>
        <v>1508</v>
      </c>
      <c r="G48" s="19">
        <f>'Raw Cash Flow'!G5</f>
        <v>1864</v>
      </c>
      <c r="H48" s="19">
        <f>H83</f>
        <v>2010.56</v>
      </c>
      <c r="I48" s="19">
        <f t="shared" ref="I48:L48" si="21">I83</f>
        <v>3705.6870400000007</v>
      </c>
      <c r="J48" s="19">
        <f t="shared" si="21"/>
        <v>5806.899961600001</v>
      </c>
      <c r="K48" s="19">
        <f t="shared" si="21"/>
        <v>7721.0126611200012</v>
      </c>
      <c r="L48" s="19">
        <f t="shared" si="21"/>
        <v>9924.6672637056017</v>
      </c>
    </row>
    <row r="49" spans="1:12" ht="16.5" outlineLevel="1" x14ac:dyDescent="0.3">
      <c r="A49" s="13" t="s">
        <v>128</v>
      </c>
      <c r="C49" s="19">
        <f t="shared" ref="C49:H49" si="22">C41+C48</f>
        <v>5630</v>
      </c>
      <c r="D49" s="19">
        <f t="shared" si="22"/>
        <v>11215</v>
      </c>
      <c r="E49" s="19">
        <f t="shared" si="22"/>
        <v>5768</v>
      </c>
      <c r="F49" s="19">
        <f t="shared" si="22"/>
        <v>34480</v>
      </c>
      <c r="G49" s="19">
        <f t="shared" si="22"/>
        <v>83317</v>
      </c>
      <c r="H49" s="19">
        <f t="shared" si="22"/>
        <v>125199.728</v>
      </c>
      <c r="I49" s="19">
        <f t="shared" ref="I49:L49" si="23">I41+I48</f>
        <v>150279.91743999996</v>
      </c>
      <c r="J49" s="19">
        <f t="shared" si="23"/>
        <v>162749.8999936</v>
      </c>
      <c r="K49" s="19">
        <f t="shared" si="23"/>
        <v>172735.36698048006</v>
      </c>
      <c r="L49" s="19">
        <f t="shared" si="23"/>
        <v>183548.46615624963</v>
      </c>
    </row>
    <row r="52" spans="1:12" ht="17.25" x14ac:dyDescent="0.3">
      <c r="A52" s="14" t="s">
        <v>113</v>
      </c>
      <c r="B52" s="14"/>
      <c r="C52" s="15">
        <v>2021</v>
      </c>
      <c r="D52" s="15">
        <v>2022</v>
      </c>
      <c r="E52" s="15">
        <v>2023</v>
      </c>
      <c r="F52" s="15">
        <v>2024</v>
      </c>
      <c r="G52" s="15">
        <v>2025</v>
      </c>
      <c r="H52" s="12">
        <v>2026</v>
      </c>
      <c r="I52" s="12">
        <v>2027</v>
      </c>
      <c r="J52" s="12">
        <v>2028</v>
      </c>
      <c r="K52" s="12">
        <v>2029</v>
      </c>
      <c r="L52" s="12">
        <v>2030</v>
      </c>
    </row>
    <row r="55" spans="1:12" ht="16.5" outlineLevel="1" x14ac:dyDescent="0.3">
      <c r="A55" s="13" t="s">
        <v>102</v>
      </c>
    </row>
    <row r="56" spans="1:12" ht="16.5" outlineLevel="1" x14ac:dyDescent="0.3">
      <c r="A56" s="11" t="s">
        <v>148</v>
      </c>
      <c r="C56" s="18">
        <f>'Raw Balance Sheet'!C4</f>
        <v>847</v>
      </c>
      <c r="D56" s="18">
        <f>'Raw Balance Sheet'!D4</f>
        <v>1990</v>
      </c>
      <c r="E56" s="18">
        <f>'Raw Balance Sheet'!E4</f>
        <v>3389</v>
      </c>
      <c r="F56" s="18">
        <f>'Raw Balance Sheet'!F4</f>
        <v>7280</v>
      </c>
      <c r="G56" s="18">
        <f>'Raw Balance Sheet'!G4</f>
        <v>8589</v>
      </c>
      <c r="H56" s="18">
        <f>H115</f>
        <v>21714.089689906832</v>
      </c>
      <c r="I56" s="18">
        <f t="shared" ref="I56:L56" si="24">I115</f>
        <v>36809.053288955402</v>
      </c>
      <c r="J56" s="18">
        <f t="shared" si="24"/>
        <v>50337.64109486244</v>
      </c>
      <c r="K56" s="18">
        <f t="shared" si="24"/>
        <v>62110.489445966654</v>
      </c>
      <c r="L56" s="18">
        <f t="shared" si="24"/>
        <v>75489.136096421193</v>
      </c>
    </row>
    <row r="57" spans="1:12" ht="16.5" outlineLevel="1" x14ac:dyDescent="0.3">
      <c r="A57" s="11" t="s">
        <v>103</v>
      </c>
      <c r="C57" s="18">
        <f>'Raw Balance Sheet'!C6</f>
        <v>2429</v>
      </c>
      <c r="D57" s="18">
        <f>'Raw Balance Sheet'!D6</f>
        <v>4650</v>
      </c>
      <c r="E57" s="18">
        <f>'Raw Balance Sheet'!E6</f>
        <v>3827</v>
      </c>
      <c r="F57" s="18">
        <f>'Raw Balance Sheet'!F6</f>
        <v>9999</v>
      </c>
      <c r="G57" s="18">
        <f>'Raw Balance Sheet'!G6</f>
        <v>23065</v>
      </c>
      <c r="H57" s="18">
        <f>H34*H15/H28</f>
        <v>35466.581917808224</v>
      </c>
      <c r="I57" s="18">
        <f>I34*I15/I28</f>
        <v>46106.556493150689</v>
      </c>
      <c r="J57" s="18">
        <f>J34*J15/J28</f>
        <v>55283.24854356164</v>
      </c>
      <c r="K57" s="18">
        <f>K34*K15/K28</f>
        <v>61917.238368789047</v>
      </c>
      <c r="L57" s="18">
        <f>L34*L15/L28</f>
        <v>68108.962205667951</v>
      </c>
    </row>
    <row r="58" spans="1:12" ht="16.5" outlineLevel="1" x14ac:dyDescent="0.3">
      <c r="A58" s="11" t="s">
        <v>104</v>
      </c>
      <c r="C58" s="18">
        <f>'Raw Balance Sheet'!C7</f>
        <v>1826</v>
      </c>
      <c r="D58" s="18">
        <f>'Raw Balance Sheet'!D7</f>
        <v>2605</v>
      </c>
      <c r="E58" s="18">
        <f>'Raw Balance Sheet'!E7</f>
        <v>5159</v>
      </c>
      <c r="F58" s="18">
        <f>'Raw Balance Sheet'!F7</f>
        <v>5282</v>
      </c>
      <c r="G58" s="18">
        <f>'Raw Balance Sheet'!G7</f>
        <v>10080</v>
      </c>
      <c r="H58" s="18">
        <f>H35*H16/H28</f>
        <v>16360.391013698632</v>
      </c>
      <c r="I58" s="18">
        <f>I35*I16/I28</f>
        <v>22488.10110246576</v>
      </c>
      <c r="J58" s="18">
        <f>J35*J16/J28</f>
        <v>27641.624271780824</v>
      </c>
      <c r="K58" s="18">
        <f>K35*K16/K28</f>
        <v>32393.52661325852</v>
      </c>
      <c r="L58" s="18">
        <f>L35*L16/L28</f>
        <v>34595.028421926574</v>
      </c>
    </row>
    <row r="59" spans="1:12" ht="16.5" outlineLevel="1" x14ac:dyDescent="0.3">
      <c r="A59" s="11" t="s">
        <v>149</v>
      </c>
      <c r="C59" s="18">
        <f>'Raw Balance Sheet'!C10</f>
        <v>2149</v>
      </c>
      <c r="D59" s="18">
        <f>'Raw Balance Sheet'!D10</f>
        <v>2778</v>
      </c>
      <c r="E59" s="18">
        <f>'Raw Balance Sheet'!E10</f>
        <v>3807</v>
      </c>
      <c r="F59" s="18">
        <f>'Raw Balance Sheet'!F10</f>
        <v>3914</v>
      </c>
      <c r="G59" s="18">
        <f>'Raw Balance Sheet'!G10</f>
        <v>6283</v>
      </c>
      <c r="H59" s="18">
        <f>H138</f>
        <v>11580.272000000003</v>
      </c>
      <c r="I59" s="18">
        <f t="shared" ref="I59:L59" si="25">I138</f>
        <v>18731.935360000003</v>
      </c>
      <c r="J59" s="18">
        <f t="shared" si="25"/>
        <v>25736.708870400005</v>
      </c>
      <c r="K59" s="18">
        <f t="shared" si="25"/>
        <v>33082.224212352005</v>
      </c>
      <c r="L59" s="18">
        <f t="shared" si="25"/>
        <v>40914.536380838399</v>
      </c>
    </row>
    <row r="60" spans="1:12" ht="16.5" outlineLevel="1" x14ac:dyDescent="0.3">
      <c r="A60" s="11" t="s">
        <v>154</v>
      </c>
      <c r="C60" s="18">
        <f>'Raw Balance Sheet'!C5+'Raw Balance Sheet'!C8+'Raw Balance Sheet'!C11+'Raw Balance Sheet'!C12+'Raw Balance Sheet'!C13+'Raw Balance Sheet'!C14+'Raw Balance Sheet'!C15</f>
        <v>21540</v>
      </c>
      <c r="D60" s="18">
        <f>'Raw Balance Sheet'!D5+'Raw Balance Sheet'!D8+'Raw Balance Sheet'!D11+'Raw Balance Sheet'!D12+'Raw Balance Sheet'!D13+'Raw Balance Sheet'!D14+'Raw Balance Sheet'!D15</f>
        <v>32164</v>
      </c>
      <c r="E60" s="18">
        <f>'Raw Balance Sheet'!E5+'Raw Balance Sheet'!E8+'Raw Balance Sheet'!E11+'Raw Balance Sheet'!E12+'Raw Balance Sheet'!E13+'Raw Balance Sheet'!E14+'Raw Balance Sheet'!E15</f>
        <v>25000</v>
      </c>
      <c r="F60" s="18">
        <f>'Raw Balance Sheet'!F5+'Raw Balance Sheet'!F8+'Raw Balance Sheet'!F11+'Raw Balance Sheet'!F12+'Raw Balance Sheet'!F13+'Raw Balance Sheet'!F14+'Raw Balance Sheet'!F15</f>
        <v>39253</v>
      </c>
      <c r="G60" s="18">
        <f>'Raw Balance Sheet'!G5+'Raw Balance Sheet'!G8+'Raw Balance Sheet'!G11+'Raw Balance Sheet'!G12+'Raw Balance Sheet'!G13+'Raw Balance Sheet'!G14+'Raw Balance Sheet'!G15</f>
        <v>63584</v>
      </c>
      <c r="H60" s="18">
        <f>G60+((-H97)-H98)-H85+H99+H100+H89+H86-H108+H110</f>
        <v>91324.393039999981</v>
      </c>
      <c r="I60" s="18">
        <f t="shared" ref="I60:L60" si="26">H60+((-I97)-I98)-I85+I99+I100+I89+I86-I108+I110</f>
        <v>126842.06741839999</v>
      </c>
      <c r="J60" s="18">
        <f t="shared" si="26"/>
        <v>168979.34498363998</v>
      </c>
      <c r="K60" s="18">
        <f t="shared" si="26"/>
        <v>216678.55241156905</v>
      </c>
      <c r="L60" s="18">
        <f t="shared" si="26"/>
        <v>270036.34857142798</v>
      </c>
    </row>
    <row r="61" spans="1:12" ht="16.5" outlineLevel="1" x14ac:dyDescent="0.3">
      <c r="A61" s="13" t="s">
        <v>105</v>
      </c>
      <c r="C61" s="19">
        <f>SUM(C56:C60)</f>
        <v>28791</v>
      </c>
      <c r="D61" s="19">
        <f t="shared" ref="D61:G61" si="27">SUM(D56:D60)</f>
        <v>44187</v>
      </c>
      <c r="E61" s="19">
        <f t="shared" si="27"/>
        <v>41182</v>
      </c>
      <c r="F61" s="19">
        <f t="shared" si="27"/>
        <v>65728</v>
      </c>
      <c r="G61" s="19">
        <f t="shared" si="27"/>
        <v>111601</v>
      </c>
      <c r="H61" s="19">
        <f>SUM(H56:H60)</f>
        <v>176445.72766141366</v>
      </c>
      <c r="I61" s="19">
        <f t="shared" ref="I61:L61" si="28">SUM(I56:I60)</f>
        <v>250977.71366297186</v>
      </c>
      <c r="J61" s="19">
        <f t="shared" si="28"/>
        <v>327978.56776424486</v>
      </c>
      <c r="K61" s="19">
        <f t="shared" si="28"/>
        <v>406182.03105193528</v>
      </c>
      <c r="L61" s="19">
        <f t="shared" si="28"/>
        <v>489144.0116762821</v>
      </c>
    </row>
    <row r="62" spans="1:12" ht="16.5" outlineLevel="1" x14ac:dyDescent="0.3">
      <c r="A62" s="11"/>
    </row>
    <row r="63" spans="1:12" ht="16.5" outlineLevel="1" x14ac:dyDescent="0.3">
      <c r="A63" s="13" t="s">
        <v>107</v>
      </c>
    </row>
    <row r="64" spans="1:12" ht="16.5" outlineLevel="1" x14ac:dyDescent="0.3">
      <c r="A64" s="11" t="s">
        <v>108</v>
      </c>
      <c r="C64" s="18">
        <f>'Raw Balance Sheet'!C19</f>
        <v>1201</v>
      </c>
      <c r="D64" s="18">
        <f>'Raw Balance Sheet'!D19</f>
        <v>1783</v>
      </c>
      <c r="E64" s="18">
        <f>'Raw Balance Sheet'!E19</f>
        <v>1193</v>
      </c>
      <c r="F64" s="18">
        <f>'Raw Balance Sheet'!F19</f>
        <v>2699</v>
      </c>
      <c r="G64" s="18">
        <f>'Raw Balance Sheet'!G19</f>
        <v>6310</v>
      </c>
      <c r="H64" s="18">
        <f>H35*H17/H28</f>
        <v>10113.6962630137</v>
      </c>
      <c r="I64" s="18">
        <f>I35*I17/I28</f>
        <v>14159.174768219182</v>
      </c>
      <c r="J64" s="18">
        <f>J35*J17/J28</f>
        <v>17637.988821041097</v>
      </c>
      <c r="K64" s="18">
        <f>K35*K17/K28</f>
        <v>21071.517311537096</v>
      </c>
      <c r="L64" s="18">
        <f>L35*L17/L28</f>
        <v>23178.669042690803</v>
      </c>
    </row>
    <row r="65" spans="1:12" ht="16.5" outlineLevel="1" x14ac:dyDescent="0.3">
      <c r="A65" s="11" t="s">
        <v>150</v>
      </c>
      <c r="C65" s="18">
        <f>'Raw Balance Sheet'!C21+'Raw Balance Sheet'!C23</f>
        <v>6963</v>
      </c>
      <c r="D65" s="18">
        <f>'Raw Balance Sheet'!D21+'Raw Balance Sheet'!D23</f>
        <v>10946</v>
      </c>
      <c r="E65" s="18">
        <f>'Raw Balance Sheet'!E21+'Raw Balance Sheet'!E23</f>
        <v>10953</v>
      </c>
      <c r="F65" s="18">
        <f>'Raw Balance Sheet'!F21+'Raw Balance Sheet'!F23</f>
        <v>9709</v>
      </c>
      <c r="G65" s="18">
        <f>'Raw Balance Sheet'!G21+'Raw Balance Sheet'!G23</f>
        <v>8463</v>
      </c>
      <c r="H65" s="18">
        <f>G65+H27</f>
        <v>6463</v>
      </c>
      <c r="I65" s="18">
        <f>H65+I27</f>
        <v>4463</v>
      </c>
      <c r="J65" s="18">
        <f>I65+J27</f>
        <v>3463</v>
      </c>
      <c r="K65" s="18">
        <f>J65+K27</f>
        <v>2463</v>
      </c>
      <c r="L65" s="18">
        <f>K65+L27</f>
        <v>1463</v>
      </c>
    </row>
    <row r="66" spans="1:12" ht="16.5" outlineLevel="1" x14ac:dyDescent="0.3">
      <c r="A66" s="11" t="s">
        <v>172</v>
      </c>
      <c r="C66" s="18">
        <f>'Raw Balance Sheet'!C20</f>
        <v>1725</v>
      </c>
      <c r="D66" s="18">
        <f>'Raw Balance Sheet'!D20</f>
        <v>2552</v>
      </c>
      <c r="E66" s="18">
        <f>'Raw Balance Sheet'!E20</f>
        <v>4120</v>
      </c>
      <c r="F66" s="18">
        <f>'Raw Balance Sheet'!F20</f>
        <v>6682</v>
      </c>
      <c r="G66" s="18">
        <f>'Raw Balance Sheet'!G20</f>
        <v>11737</v>
      </c>
      <c r="H66" s="18">
        <f>H40*H26</f>
        <v>21923.495999999999</v>
      </c>
      <c r="I66" s="18">
        <f>I40*I26</f>
        <v>31757.749920000002</v>
      </c>
      <c r="J66" s="18">
        <f>J40*J26</f>
        <v>40356.771436799994</v>
      </c>
      <c r="K66" s="18">
        <f>K40*K26</f>
        <v>47351.945152512002</v>
      </c>
      <c r="L66" s="18">
        <f>L40*L26</f>
        <v>56822.334183014413</v>
      </c>
    </row>
    <row r="67" spans="1:12" ht="16.5" outlineLevel="1" x14ac:dyDescent="0.3">
      <c r="A67" s="11" t="s">
        <v>155</v>
      </c>
      <c r="C67" s="18">
        <f>'Raw Balance Sheet'!C24+'Raw Balance Sheet'!C25</f>
        <v>2009</v>
      </c>
      <c r="D67" s="18">
        <f>'Raw Balance Sheet'!D24+'Raw Balance Sheet'!D25</f>
        <v>2294</v>
      </c>
      <c r="E67" s="18">
        <f>'Raw Balance Sheet'!E24+'Raw Balance Sheet'!E25</f>
        <v>2815</v>
      </c>
      <c r="F67" s="18">
        <f>'Raw Balance Sheet'!F24+'Raw Balance Sheet'!F25</f>
        <v>3660</v>
      </c>
      <c r="G67" s="18">
        <f>'Raw Balance Sheet'!G24+'Raw Balance Sheet'!G25</f>
        <v>5764</v>
      </c>
      <c r="H67" s="18">
        <f>G67+H92</f>
        <v>7037.5</v>
      </c>
      <c r="I67" s="18">
        <f t="shared" ref="I67:L67" si="29">H67+I92</f>
        <v>8693.0499999999993</v>
      </c>
      <c r="J67" s="18">
        <f t="shared" si="29"/>
        <v>10845.264999999999</v>
      </c>
      <c r="K67" s="18">
        <f t="shared" si="29"/>
        <v>13643.1445</v>
      </c>
      <c r="L67" s="18">
        <f t="shared" si="29"/>
        <v>17280.387849999999</v>
      </c>
    </row>
    <row r="68" spans="1:12" ht="16.5" outlineLevel="1" x14ac:dyDescent="0.3">
      <c r="A68" s="13" t="s">
        <v>129</v>
      </c>
      <c r="C68" s="19">
        <f>SUM(C64:C67)</f>
        <v>11898</v>
      </c>
      <c r="D68" s="19">
        <f t="shared" ref="D68:G68" si="30">SUM(D64:D67)</f>
        <v>17575</v>
      </c>
      <c r="E68" s="19">
        <f t="shared" si="30"/>
        <v>19081</v>
      </c>
      <c r="F68" s="19">
        <f t="shared" si="30"/>
        <v>22750</v>
      </c>
      <c r="G68" s="19">
        <f t="shared" si="30"/>
        <v>32274</v>
      </c>
      <c r="H68" s="19">
        <f>SUM(H64:H67)</f>
        <v>45537.692263013698</v>
      </c>
      <c r="I68" s="19">
        <f t="shared" ref="I68:L68" si="31">SUM(I64:I67)</f>
        <v>59072.974688219183</v>
      </c>
      <c r="J68" s="19">
        <f t="shared" si="31"/>
        <v>72303.025257841087</v>
      </c>
      <c r="K68" s="19">
        <f t="shared" si="31"/>
        <v>84529.60696404909</v>
      </c>
      <c r="L68" s="19">
        <f t="shared" si="31"/>
        <v>98744.391075705207</v>
      </c>
    </row>
    <row r="69" spans="1:12" ht="16.5" outlineLevel="1" x14ac:dyDescent="0.3">
      <c r="A69" s="13"/>
    </row>
    <row r="70" spans="1:12" ht="16.5" outlineLevel="1" x14ac:dyDescent="0.3">
      <c r="A70" s="13" t="s">
        <v>151</v>
      </c>
    </row>
    <row r="71" spans="1:12" ht="16.5" outlineLevel="1" x14ac:dyDescent="0.3">
      <c r="A71" s="11" t="s">
        <v>152</v>
      </c>
      <c r="C71" s="18">
        <f>'Raw Balance Sheet'!C29+'Raw Balance Sheet'!C30+'Raw Balance Sheet'!C31+'Raw Balance Sheet'!C32</f>
        <v>-2015</v>
      </c>
      <c r="D71" s="18">
        <f>'Raw Balance Sheet'!D29+'Raw Balance Sheet'!D30+'Raw Balance Sheet'!D31+'Raw Balance Sheet'!D32</f>
        <v>10377</v>
      </c>
      <c r="E71" s="18">
        <f>'Raw Balance Sheet'!E29+'Raw Balance Sheet'!E30+'Raw Balance Sheet'!E31+'Raw Balance Sheet'!E32</f>
        <v>11930</v>
      </c>
      <c r="F71" s="18">
        <f>'Raw Balance Sheet'!F29+'Raw Balance Sheet'!F30+'Raw Balance Sheet'!F31+'Raw Balance Sheet'!F32</f>
        <v>13161</v>
      </c>
      <c r="G71" s="18">
        <f>'Raw Balance Sheet'!G29+'Raw Balance Sheet'!G30+'Raw Balance Sheet'!G31+'Raw Balance Sheet'!G32</f>
        <v>11289</v>
      </c>
      <c r="H71" s="18">
        <f>G71</f>
        <v>11289</v>
      </c>
      <c r="I71" s="18">
        <f t="shared" ref="I71:L71" si="32">H71</f>
        <v>11289</v>
      </c>
      <c r="J71" s="18">
        <f t="shared" si="32"/>
        <v>11289</v>
      </c>
      <c r="K71" s="18">
        <f t="shared" si="32"/>
        <v>11289</v>
      </c>
      <c r="L71" s="18">
        <f t="shared" si="32"/>
        <v>11289</v>
      </c>
    </row>
    <row r="72" spans="1:12" ht="16.5" outlineLevel="1" x14ac:dyDescent="0.3">
      <c r="A72" s="11" t="s">
        <v>106</v>
      </c>
      <c r="C72" s="18">
        <f>'Raw Balance Sheet'!C33</f>
        <v>18908</v>
      </c>
      <c r="D72" s="18">
        <f>'Raw Balance Sheet'!D33</f>
        <v>16235</v>
      </c>
      <c r="E72" s="18">
        <f>'Raw Balance Sheet'!E33</f>
        <v>10171</v>
      </c>
      <c r="F72" s="18">
        <f>'Raw Balance Sheet'!F33</f>
        <v>29817</v>
      </c>
      <c r="G72" s="18">
        <f>'Raw Balance Sheet'!G33</f>
        <v>68038</v>
      </c>
      <c r="H72" s="18">
        <f>G72+H46+H107+H106</f>
        <v>119618.63059840002</v>
      </c>
      <c r="I72" s="18">
        <f t="shared" ref="I72:L72" si="33">H72+I46+I107+I106</f>
        <v>180615.92479875268</v>
      </c>
      <c r="J72" s="18">
        <f t="shared" si="33"/>
        <v>244386.46714800381</v>
      </c>
      <c r="K72" s="18">
        <f t="shared" si="33"/>
        <v>310363.34165810054</v>
      </c>
      <c r="L72" s="18">
        <f t="shared" si="33"/>
        <v>379110.61536032078</v>
      </c>
    </row>
    <row r="73" spans="1:12" ht="16.5" outlineLevel="1" x14ac:dyDescent="0.3">
      <c r="A73" s="13" t="s">
        <v>151</v>
      </c>
      <c r="C73" s="19">
        <f>SUM(C71:C72)</f>
        <v>16893</v>
      </c>
      <c r="D73" s="19">
        <f t="shared" ref="D73:L73" si="34">SUM(D71:D72)</f>
        <v>26612</v>
      </c>
      <c r="E73" s="19">
        <f t="shared" si="34"/>
        <v>22101</v>
      </c>
      <c r="F73" s="19">
        <f t="shared" si="34"/>
        <v>42978</v>
      </c>
      <c r="G73" s="19">
        <f t="shared" si="34"/>
        <v>79327</v>
      </c>
      <c r="H73" s="19">
        <f t="shared" si="34"/>
        <v>130907.63059840002</v>
      </c>
      <c r="I73" s="19">
        <f t="shared" si="34"/>
        <v>191904.92479875268</v>
      </c>
      <c r="J73" s="19">
        <f t="shared" si="34"/>
        <v>255675.46714800381</v>
      </c>
      <c r="K73" s="19">
        <f t="shared" si="34"/>
        <v>321652.34165810054</v>
      </c>
      <c r="L73" s="19">
        <f t="shared" si="34"/>
        <v>390399.61536032078</v>
      </c>
    </row>
    <row r="74" spans="1:12" ht="16.5" outlineLevel="1" x14ac:dyDescent="0.3">
      <c r="A74" s="13" t="s">
        <v>153</v>
      </c>
      <c r="C74" s="19">
        <f>C68+C73</f>
        <v>28791</v>
      </c>
      <c r="D74" s="19">
        <f t="shared" ref="D74:K74" si="35">D68+D73</f>
        <v>44187</v>
      </c>
      <c r="E74" s="19">
        <f t="shared" si="35"/>
        <v>41182</v>
      </c>
      <c r="F74" s="19">
        <f t="shared" si="35"/>
        <v>65728</v>
      </c>
      <c r="G74" s="19">
        <f t="shared" si="35"/>
        <v>111601</v>
      </c>
      <c r="H74" s="19">
        <f t="shared" si="35"/>
        <v>176445.3228614137</v>
      </c>
      <c r="I74" s="19">
        <f t="shared" si="35"/>
        <v>250977.89948697184</v>
      </c>
      <c r="J74" s="19">
        <f t="shared" si="35"/>
        <v>327978.49240584491</v>
      </c>
      <c r="K74" s="19">
        <f t="shared" si="35"/>
        <v>406181.94862214965</v>
      </c>
      <c r="L74" s="19">
        <f>L68+L73</f>
        <v>489144.00643602596</v>
      </c>
    </row>
    <row r="75" spans="1:12" ht="16.5" outlineLevel="1" x14ac:dyDescent="0.3">
      <c r="A75" s="13"/>
    </row>
    <row r="76" spans="1:12" outlineLevel="1" x14ac:dyDescent="0.2">
      <c r="A76" s="20" t="s">
        <v>130</v>
      </c>
      <c r="C76" s="19">
        <f>C61-C74</f>
        <v>0</v>
      </c>
      <c r="D76" s="19">
        <f t="shared" ref="D76:L76" si="36">D61-D74</f>
        <v>0</v>
      </c>
      <c r="E76" s="19">
        <f t="shared" si="36"/>
        <v>0</v>
      </c>
      <c r="F76" s="19">
        <f t="shared" si="36"/>
        <v>0</v>
      </c>
      <c r="G76" s="19">
        <f t="shared" si="36"/>
        <v>0</v>
      </c>
      <c r="H76" s="19">
        <f>H61-H74</f>
        <v>0.40479999996023253</v>
      </c>
      <c r="I76" s="19">
        <f t="shared" si="36"/>
        <v>-0.18582399998558685</v>
      </c>
      <c r="J76" s="19">
        <f t="shared" si="36"/>
        <v>7.5358399946708232E-2</v>
      </c>
      <c r="K76" s="19">
        <f t="shared" si="36"/>
        <v>8.242978563066572E-2</v>
      </c>
      <c r="L76" s="19">
        <f t="shared" si="36"/>
        <v>5.2402561414055526E-3</v>
      </c>
    </row>
    <row r="79" spans="1:12" ht="17.25" x14ac:dyDescent="0.3">
      <c r="A79" s="14" t="s">
        <v>109</v>
      </c>
      <c r="B79" s="14"/>
      <c r="C79" s="15">
        <v>2021</v>
      </c>
      <c r="D79" s="15">
        <v>2022</v>
      </c>
      <c r="E79" s="15">
        <v>2023</v>
      </c>
      <c r="F79" s="15">
        <v>2024</v>
      </c>
      <c r="G79" s="15">
        <v>2025</v>
      </c>
      <c r="H79" s="12">
        <v>2026</v>
      </c>
      <c r="I79" s="12">
        <v>2027</v>
      </c>
      <c r="J79" s="12">
        <v>2028</v>
      </c>
      <c r="K79" s="12">
        <v>2029</v>
      </c>
      <c r="L79" s="12">
        <v>2030</v>
      </c>
    </row>
    <row r="80" spans="1:12" ht="16.5" x14ac:dyDescent="0.3">
      <c r="A80" s="11"/>
    </row>
    <row r="81" spans="1:12" ht="16.5" outlineLevel="1" x14ac:dyDescent="0.3">
      <c r="A81" s="13" t="s">
        <v>156</v>
      </c>
    </row>
    <row r="82" spans="1:12" ht="16.5" outlineLevel="1" x14ac:dyDescent="0.3">
      <c r="A82" s="13" t="s">
        <v>101</v>
      </c>
      <c r="B82" s="20"/>
      <c r="C82" s="19">
        <f>'Raw Cash Flow'!C3</f>
        <v>4332</v>
      </c>
      <c r="D82" s="19">
        <f>'Raw Cash Flow'!D3</f>
        <v>9752</v>
      </c>
      <c r="E82" s="19">
        <f>'Raw Cash Flow'!E3</f>
        <v>4368</v>
      </c>
      <c r="F82" s="19">
        <f>'Raw Cash Flow'!F3</f>
        <v>29760</v>
      </c>
      <c r="G82" s="19">
        <f>'Raw Cash Flow'!G3</f>
        <v>72880</v>
      </c>
      <c r="H82" s="19">
        <f>H46</f>
        <v>107459.64708000001</v>
      </c>
      <c r="I82" s="19">
        <f t="shared" ref="I82:L82" si="37">I46</f>
        <v>127077.69625073469</v>
      </c>
      <c r="J82" s="19">
        <f t="shared" si="37"/>
        <v>135682.00499840672</v>
      </c>
      <c r="K82" s="19">
        <f t="shared" si="37"/>
        <v>143427.98806542772</v>
      </c>
      <c r="L82" s="19">
        <f t="shared" si="37"/>
        <v>149450.59500482676</v>
      </c>
    </row>
    <row r="83" spans="1:12" ht="16.5" outlineLevel="1" x14ac:dyDescent="0.3">
      <c r="A83" s="11" t="s">
        <v>114</v>
      </c>
      <c r="C83" s="18">
        <f>'Raw Cash Flow'!C5</f>
        <v>1098</v>
      </c>
      <c r="D83" s="18">
        <f>'Raw Cash Flow'!D5</f>
        <v>1174</v>
      </c>
      <c r="E83" s="18">
        <f>'Raw Cash Flow'!E5</f>
        <v>1544</v>
      </c>
      <c r="F83" s="18">
        <f>'Raw Cash Flow'!F5</f>
        <v>1508</v>
      </c>
      <c r="G83" s="18">
        <f>'Raw Cash Flow'!G5</f>
        <v>1864</v>
      </c>
      <c r="H83" s="18">
        <f>H135*H19</f>
        <v>2010.56</v>
      </c>
      <c r="I83" s="18">
        <f>I135*I19</f>
        <v>3705.6870400000007</v>
      </c>
      <c r="J83" s="18">
        <f>J135*J19</f>
        <v>5806.899961600001</v>
      </c>
      <c r="K83" s="18">
        <f>K135*K19</f>
        <v>7721.0126611200012</v>
      </c>
      <c r="L83" s="18">
        <f>L135*L19</f>
        <v>9924.6672637056017</v>
      </c>
    </row>
    <row r="84" spans="1:12" ht="16.5" outlineLevel="1" x14ac:dyDescent="0.3">
      <c r="A84" s="11" t="s">
        <v>179</v>
      </c>
      <c r="C84" s="18">
        <f>'Raw Cash Flow'!C4</f>
        <v>1397</v>
      </c>
      <c r="D84" s="18">
        <f>'Raw Cash Flow'!D4</f>
        <v>2004</v>
      </c>
      <c r="E84" s="18">
        <f>'Raw Cash Flow'!E4</f>
        <v>2709</v>
      </c>
      <c r="F84" s="18">
        <f>'Raw Cash Flow'!F4</f>
        <v>3549</v>
      </c>
      <c r="G84" s="18">
        <f>'Raw Cash Flow'!G4</f>
        <v>4737</v>
      </c>
      <c r="H84" s="18">
        <f>H34*H20</f>
        <v>8351.8080000000009</v>
      </c>
      <c r="I84" s="18">
        <f>I34*I20</f>
        <v>10314.48288</v>
      </c>
      <c r="J84" s="18">
        <f>J34*J20</f>
        <v>11210.214288000001</v>
      </c>
      <c r="K84" s="18">
        <f>K34*K20</f>
        <v>11837.986288128002</v>
      </c>
      <c r="L84" s="18">
        <f>L34*L20</f>
        <v>11837.986288128001</v>
      </c>
    </row>
    <row r="85" spans="1:12" ht="16.5" outlineLevel="1" x14ac:dyDescent="0.3">
      <c r="A85" s="11" t="s">
        <v>180</v>
      </c>
      <c r="C85" s="18">
        <f>'Raw Cash Flow'!C6</f>
        <v>-282</v>
      </c>
      <c r="D85" s="18">
        <f>'Raw Cash Flow'!D6</f>
        <v>-406</v>
      </c>
      <c r="E85" s="18">
        <f>'Raw Cash Flow'!E6</f>
        <v>-2164</v>
      </c>
      <c r="F85" s="18">
        <f>'Raw Cash Flow'!F6</f>
        <v>-2489</v>
      </c>
      <c r="G85" s="18">
        <f>'Raw Cash Flow'!G6</f>
        <v>-4477</v>
      </c>
      <c r="H85" s="18">
        <f>G85*(1+(15/100))</f>
        <v>-5148.5499999999993</v>
      </c>
      <c r="I85" s="18">
        <f t="shared" ref="I85:L85" si="38">H85*(1+(15/100))</f>
        <v>-5920.8324999999986</v>
      </c>
      <c r="J85" s="18">
        <f t="shared" si="38"/>
        <v>-6808.9573749999981</v>
      </c>
      <c r="K85" s="18">
        <f t="shared" si="38"/>
        <v>-7830.3009812499977</v>
      </c>
      <c r="L85" s="18">
        <f t="shared" si="38"/>
        <v>-9004.8461284374971</v>
      </c>
    </row>
    <row r="86" spans="1:12" ht="16.5" outlineLevel="1" x14ac:dyDescent="0.3">
      <c r="A86" s="11" t="s">
        <v>115</v>
      </c>
      <c r="C86" s="18">
        <f>'Raw Cash Flow'!C7+'Raw Cash Flow'!C8+'Raw Cash Flow'!C9</f>
        <v>-20</v>
      </c>
      <c r="D86" s="18">
        <f>'Raw Cash Flow'!D7+'Raw Cash Flow'!D8+'Raw Cash Flow'!D9</f>
        <v>-53</v>
      </c>
      <c r="E86" s="18">
        <f>'Raw Cash Flow'!E7+'Raw Cash Flow'!E8+'Raw Cash Flow'!E9</f>
        <v>1391</v>
      </c>
      <c r="F86" s="18">
        <f>'Raw Cash Flow'!F7+'Raw Cash Flow'!F8+'Raw Cash Flow'!F9</f>
        <v>-516</v>
      </c>
      <c r="G86" s="18">
        <f>'Raw Cash Flow'!G7+'Raw Cash Flow'!G8+'Raw Cash Flow'!G9</f>
        <v>-1532</v>
      </c>
      <c r="H86" s="18">
        <f>-H34*0.002</f>
        <v>-417.59040000000005</v>
      </c>
      <c r="I86" s="18">
        <f t="shared" ref="I86:L86" si="39">-I34*0.002</f>
        <v>-542.86752000000001</v>
      </c>
      <c r="J86" s="18">
        <f t="shared" si="39"/>
        <v>-640.5836736</v>
      </c>
      <c r="K86" s="18">
        <f t="shared" si="39"/>
        <v>-717.45371443200008</v>
      </c>
      <c r="L86" s="18">
        <f t="shared" si="39"/>
        <v>-789.19908587520013</v>
      </c>
    </row>
    <row r="87" spans="1:12" ht="16.5" outlineLevel="1" x14ac:dyDescent="0.3">
      <c r="A87" s="11" t="s">
        <v>116</v>
      </c>
      <c r="C87" s="18">
        <f>'Raw Cash Flow'!C11</f>
        <v>-550</v>
      </c>
      <c r="D87" s="18">
        <f>'Raw Cash Flow'!D11</f>
        <v>-2215</v>
      </c>
      <c r="E87" s="18">
        <f>'Raw Cash Flow'!E11</f>
        <v>822</v>
      </c>
      <c r="F87" s="18">
        <f>'Raw Cash Flow'!F11</f>
        <v>-6172</v>
      </c>
      <c r="G87" s="18">
        <f>'Raw Cash Flow'!G11</f>
        <v>-13063</v>
      </c>
      <c r="H87" s="18">
        <f>-(H141-G141)</f>
        <v>-12401.581917808224</v>
      </c>
      <c r="I87" s="18">
        <f t="shared" ref="I87:L87" si="40">-(I141-H141)</f>
        <v>-10639.974575342465</v>
      </c>
      <c r="J87" s="18">
        <f t="shared" si="40"/>
        <v>-9176.6920504109512</v>
      </c>
      <c r="K87" s="18">
        <f t="shared" si="40"/>
        <v>-6633.989825227407</v>
      </c>
      <c r="L87" s="18">
        <f t="shared" si="40"/>
        <v>-6191.723836878904</v>
      </c>
    </row>
    <row r="88" spans="1:12" ht="16.5" outlineLevel="1" x14ac:dyDescent="0.3">
      <c r="A88" s="11" t="s">
        <v>117</v>
      </c>
      <c r="C88" s="18">
        <f>'Raw Cash Flow'!C12</f>
        <v>-524</v>
      </c>
      <c r="D88" s="18">
        <f>'Raw Cash Flow'!D12</f>
        <v>-774</v>
      </c>
      <c r="E88" s="18">
        <f>'Raw Cash Flow'!E12</f>
        <v>-2554</v>
      </c>
      <c r="F88" s="18">
        <f>'Raw Cash Flow'!F12</f>
        <v>-98</v>
      </c>
      <c r="G88" s="18">
        <f>'Raw Cash Flow'!G12</f>
        <v>-4781</v>
      </c>
      <c r="H88" s="18">
        <f>-(H142-G142)</f>
        <v>-6280.3910136986324</v>
      </c>
      <c r="I88" s="18">
        <f t="shared" ref="I88:L88" si="41">-(I142-H142)</f>
        <v>-6127.7100887671277</v>
      </c>
      <c r="J88" s="18">
        <f t="shared" si="41"/>
        <v>-5153.5231693150636</v>
      </c>
      <c r="K88" s="18">
        <f t="shared" si="41"/>
        <v>-4751.9023414776966</v>
      </c>
      <c r="L88" s="18">
        <f t="shared" si="41"/>
        <v>-2201.5018086680539</v>
      </c>
    </row>
    <row r="89" spans="1:12" ht="16.5" outlineLevel="1" x14ac:dyDescent="0.3">
      <c r="A89" s="11" t="s">
        <v>181</v>
      </c>
      <c r="C89" s="18">
        <f>'Raw Cash Flow'!C13</f>
        <v>-394</v>
      </c>
      <c r="D89" s="18">
        <f>'Raw Cash Flow'!D13</f>
        <v>-1715</v>
      </c>
      <c r="E89" s="18">
        <f>'Raw Cash Flow'!E13</f>
        <v>-1517</v>
      </c>
      <c r="F89" s="18">
        <f>'Raw Cash Flow'!F13</f>
        <v>-1522</v>
      </c>
      <c r="G89" s="18">
        <f>'Raw Cash Flow'!G13</f>
        <v>-395</v>
      </c>
      <c r="H89" s="18">
        <f>-(H144-G144)</f>
        <v>-767.84000000000378</v>
      </c>
      <c r="I89" s="18">
        <f t="shared" ref="I89:L89" si="42">-(I144-H144)</f>
        <v>-783.19679999999789</v>
      </c>
      <c r="J89" s="18">
        <f t="shared" si="42"/>
        <v>-798.86073600000236</v>
      </c>
      <c r="K89" s="18">
        <f t="shared" si="42"/>
        <v>-814.83795072000066</v>
      </c>
      <c r="L89" s="18">
        <f t="shared" si="42"/>
        <v>-831.13470973440417</v>
      </c>
    </row>
    <row r="90" spans="1:12" ht="16.5" outlineLevel="1" x14ac:dyDescent="0.3">
      <c r="A90" s="11" t="s">
        <v>118</v>
      </c>
      <c r="C90" s="18">
        <f>'Raw Cash Flow'!C14</f>
        <v>312</v>
      </c>
      <c r="D90" s="18">
        <f>'Raw Cash Flow'!D14</f>
        <v>568</v>
      </c>
      <c r="E90" s="18">
        <f>'Raw Cash Flow'!E14</f>
        <v>-551</v>
      </c>
      <c r="F90" s="18">
        <f>'Raw Cash Flow'!F14</f>
        <v>1531</v>
      </c>
      <c r="G90" s="18">
        <f>'Raw Cash Flow'!G14</f>
        <v>3357</v>
      </c>
      <c r="H90" s="18">
        <f>H143-G143</f>
        <v>3803.6962630137004</v>
      </c>
      <c r="I90" s="18">
        <f t="shared" ref="I90:L90" si="43">I143-H143</f>
        <v>4045.4785052054813</v>
      </c>
      <c r="J90" s="18">
        <f t="shared" si="43"/>
        <v>3478.8140528219155</v>
      </c>
      <c r="K90" s="18">
        <f t="shared" si="43"/>
        <v>3433.528490495999</v>
      </c>
      <c r="L90" s="18">
        <f t="shared" si="43"/>
        <v>2107.1517311537064</v>
      </c>
    </row>
    <row r="91" spans="1:12" ht="16.5" outlineLevel="1" x14ac:dyDescent="0.3">
      <c r="A91" s="11" t="s">
        <v>182</v>
      </c>
      <c r="C91" s="18">
        <f>'Raw Cash Flow'!C15</f>
        <v>290</v>
      </c>
      <c r="D91" s="18">
        <f>'Raw Cash Flow'!D15</f>
        <v>581</v>
      </c>
      <c r="E91" s="18">
        <f>'Raw Cash Flow'!E15</f>
        <v>1341</v>
      </c>
      <c r="F91" s="18">
        <f>'Raw Cash Flow'!F15</f>
        <v>2025</v>
      </c>
      <c r="G91" s="18">
        <f>'Raw Cash Flow'!G15</f>
        <v>4278</v>
      </c>
      <c r="H91" s="18">
        <f>H145-G145</f>
        <v>10186.495999999999</v>
      </c>
      <c r="I91" s="18">
        <f t="shared" ref="I91:L91" si="44">I145-H145</f>
        <v>9834.2539200000028</v>
      </c>
      <c r="J91" s="18">
        <f t="shared" si="44"/>
        <v>8599.0215167999922</v>
      </c>
      <c r="K91" s="18">
        <f t="shared" si="44"/>
        <v>6995.1737157120078</v>
      </c>
      <c r="L91" s="18">
        <f t="shared" si="44"/>
        <v>9470.3890305024106</v>
      </c>
    </row>
    <row r="92" spans="1:12" ht="16.5" outlineLevel="1" x14ac:dyDescent="0.3">
      <c r="A92" s="11" t="s">
        <v>183</v>
      </c>
      <c r="C92" s="18">
        <f>'Raw Cash Flow'!C16</f>
        <v>163</v>
      </c>
      <c r="D92" s="18">
        <f>'Raw Cash Flow'!D16</f>
        <v>192</v>
      </c>
      <c r="E92" s="18">
        <f>'Raw Cash Flow'!E16</f>
        <v>252</v>
      </c>
      <c r="F92" s="18">
        <f>'Raw Cash Flow'!F16</f>
        <v>514</v>
      </c>
      <c r="G92" s="18">
        <f>'Raw Cash Flow'!G16</f>
        <v>1221</v>
      </c>
      <c r="H92" s="18">
        <f>H149-G149</f>
        <v>1273.5</v>
      </c>
      <c r="I92" s="18">
        <f t="shared" ref="I92:L92" si="45">I149-H149</f>
        <v>1655.5500000000002</v>
      </c>
      <c r="J92" s="18">
        <f t="shared" si="45"/>
        <v>2152.2150000000011</v>
      </c>
      <c r="K92" s="18">
        <f t="shared" si="45"/>
        <v>2797.8795000000009</v>
      </c>
      <c r="L92" s="18">
        <f t="shared" si="45"/>
        <v>3637.2433500000006</v>
      </c>
    </row>
    <row r="93" spans="1:12" ht="16.5" outlineLevel="1" x14ac:dyDescent="0.3">
      <c r="A93" s="16" t="s">
        <v>157</v>
      </c>
      <c r="B93" s="17"/>
      <c r="C93" s="21">
        <f>SUM(C82:C92)</f>
        <v>5822</v>
      </c>
      <c r="D93" s="21">
        <f t="shared" ref="D93:G93" si="46">SUM(D82:D92)</f>
        <v>9108</v>
      </c>
      <c r="E93" s="21">
        <f t="shared" si="46"/>
        <v>5641</v>
      </c>
      <c r="F93" s="21">
        <f t="shared" si="46"/>
        <v>28090</v>
      </c>
      <c r="G93" s="21">
        <f t="shared" si="46"/>
        <v>64089</v>
      </c>
      <c r="H93" s="21">
        <f>SUM(H82:H92)</f>
        <v>108069.75401150684</v>
      </c>
      <c r="I93" s="21">
        <f t="shared" ref="I93:L93" si="47">SUM(I82:I92)</f>
        <v>132618.56711183061</v>
      </c>
      <c r="J93" s="21">
        <f t="shared" si="47"/>
        <v>144350.55281330258</v>
      </c>
      <c r="K93" s="21">
        <f t="shared" si="47"/>
        <v>155465.08390777663</v>
      </c>
      <c r="L93" s="21">
        <f t="shared" si="47"/>
        <v>167409.62709872244</v>
      </c>
    </row>
    <row r="94" spans="1:12" ht="16.5" outlineLevel="1" x14ac:dyDescent="0.3">
      <c r="A94" s="11"/>
    </row>
    <row r="95" spans="1:12" ht="16.5" outlineLevel="1" x14ac:dyDescent="0.3">
      <c r="A95" s="13" t="s">
        <v>158</v>
      </c>
    </row>
    <row r="96" spans="1:12" ht="16.5" outlineLevel="1" x14ac:dyDescent="0.3">
      <c r="A96" s="11" t="s">
        <v>166</v>
      </c>
      <c r="C96" s="18">
        <f>'Raw Cash Flow'!C23</f>
        <v>-1128</v>
      </c>
      <c r="D96" s="18">
        <f>'Raw Cash Flow'!D23</f>
        <v>-976</v>
      </c>
      <c r="E96" s="18">
        <f>'Raw Cash Flow'!E23</f>
        <v>-1833</v>
      </c>
      <c r="F96" s="18">
        <f>'Raw Cash Flow'!F23</f>
        <v>-1069</v>
      </c>
      <c r="G96" s="18">
        <f>'Raw Cash Flow'!G23</f>
        <v>-3236</v>
      </c>
      <c r="H96" s="18">
        <f>-H34*H18</f>
        <v>-7307.8320000000012</v>
      </c>
      <c r="I96" s="18">
        <f>-I34*I18</f>
        <v>-10857.350400000001</v>
      </c>
      <c r="J96" s="18">
        <f>-J34*J18</f>
        <v>-12811.673472</v>
      </c>
      <c r="K96" s="18">
        <f>-K34*K18</f>
        <v>-15066.528003072002</v>
      </c>
      <c r="L96" s="18">
        <f>-L34*L18</f>
        <v>-17756.979432192002</v>
      </c>
    </row>
    <row r="97" spans="1:12" ht="16.5" outlineLevel="1" x14ac:dyDescent="0.3">
      <c r="A97" s="11" t="s">
        <v>184</v>
      </c>
      <c r="C97" s="18">
        <f>'Raw Cash Flow'!C22</f>
        <v>-19308</v>
      </c>
      <c r="D97" s="18">
        <f>'Raw Cash Flow'!D22</f>
        <v>-24787</v>
      </c>
      <c r="E97" s="18">
        <f>'Raw Cash Flow'!E22</f>
        <v>-11897</v>
      </c>
      <c r="F97" s="18">
        <f>'Raw Cash Flow'!F22</f>
        <v>-18211</v>
      </c>
      <c r="G97" s="18">
        <f>'Raw Cash Flow'!G22</f>
        <v>-26575</v>
      </c>
      <c r="H97" s="18">
        <f>-H34*0.25</f>
        <v>-52198.8</v>
      </c>
      <c r="I97" s="18">
        <f t="shared" ref="I97:L97" si="48">-I34*0.25</f>
        <v>-67858.44</v>
      </c>
      <c r="J97" s="18">
        <f t="shared" si="48"/>
        <v>-80072.959199999998</v>
      </c>
      <c r="K97" s="18">
        <f t="shared" si="48"/>
        <v>-89681.714304000008</v>
      </c>
      <c r="L97" s="18">
        <f t="shared" si="48"/>
        <v>-98649.885734400013</v>
      </c>
    </row>
    <row r="98" spans="1:12" ht="16.5" outlineLevel="1" x14ac:dyDescent="0.3">
      <c r="A98" s="11" t="s">
        <v>185</v>
      </c>
      <c r="C98" s="18">
        <f>'Raw Cash Flow'!C19+'Raw Cash Flow'!C20</f>
        <v>9319</v>
      </c>
      <c r="D98" s="18">
        <f>'Raw Cash Flow'!D19+'Raw Cash Flow'!D20</f>
        <v>16220</v>
      </c>
      <c r="E98" s="18">
        <f>'Raw Cash Flow'!E19+'Raw Cash Flow'!E20</f>
        <v>21231</v>
      </c>
      <c r="F98" s="18">
        <f>'Raw Cash Flow'!F19+'Raw Cash Flow'!F20</f>
        <v>9782</v>
      </c>
      <c r="G98" s="18">
        <f>'Raw Cash Flow'!G19+'Raw Cash Flow'!G20</f>
        <v>11690</v>
      </c>
      <c r="H98" s="18">
        <f>-H97*50%</f>
        <v>26099.4</v>
      </c>
      <c r="I98" s="18">
        <f t="shared" ref="I98:L98" si="49">-I97*50%</f>
        <v>33929.22</v>
      </c>
      <c r="J98" s="18">
        <f t="shared" si="49"/>
        <v>40036.479599999999</v>
      </c>
      <c r="K98" s="18">
        <f t="shared" si="49"/>
        <v>44840.857152000004</v>
      </c>
      <c r="L98" s="18">
        <f t="shared" si="49"/>
        <v>49324.942867200007</v>
      </c>
    </row>
    <row r="99" spans="1:12" ht="16.5" outlineLevel="1" x14ac:dyDescent="0.3">
      <c r="A99" s="11" t="s">
        <v>186</v>
      </c>
      <c r="C99" s="18">
        <f>'Raw Cash Flow'!C25</f>
        <v>-8524</v>
      </c>
      <c r="D99" s="18">
        <f>'Raw Cash Flow'!D25</f>
        <v>-263</v>
      </c>
      <c r="E99" s="18">
        <f>'Raw Cash Flow'!E25</f>
        <v>-49</v>
      </c>
      <c r="F99" s="18">
        <f>'Raw Cash Flow'!F25</f>
        <v>-83</v>
      </c>
      <c r="G99" s="18">
        <f>'Raw Cash Flow'!G25</f>
        <v>-1007</v>
      </c>
      <c r="H99" s="18">
        <v>-1000</v>
      </c>
      <c r="I99" s="18">
        <v>-1034.3</v>
      </c>
      <c r="J99" s="18">
        <v>-1134</v>
      </c>
      <c r="K99" s="18">
        <v>-1161</v>
      </c>
      <c r="L99" s="18">
        <v>-1273</v>
      </c>
    </row>
    <row r="100" spans="1:12" ht="16.5" outlineLevel="1" x14ac:dyDescent="0.3">
      <c r="A100" s="11" t="s">
        <v>110</v>
      </c>
      <c r="C100" s="18">
        <f>'Raw Cash Flow'!C21+'Raw Cash Flow'!C24+'Raw Cash Flow'!C26</f>
        <v>-34</v>
      </c>
      <c r="D100" s="18">
        <f>'Raw Cash Flow'!D21+'Raw Cash Flow'!D24+'Raw Cash Flow'!D26</f>
        <v>-24</v>
      </c>
      <c r="E100" s="18">
        <f>'Raw Cash Flow'!E21+'Raw Cash Flow'!E24+'Raw Cash Flow'!E26</f>
        <v>-77</v>
      </c>
      <c r="F100" s="18">
        <f>'Raw Cash Flow'!F21+'Raw Cash Flow'!F24+'Raw Cash Flow'!F26</f>
        <v>-985</v>
      </c>
      <c r="G100" s="18">
        <f>'Raw Cash Flow'!G21+'Raw Cash Flow'!G24+'Raw Cash Flow'!G26</f>
        <v>-1293</v>
      </c>
      <c r="H100" s="18">
        <v>-637.5</v>
      </c>
      <c r="I100" s="18">
        <v>-1100</v>
      </c>
      <c r="J100" s="18">
        <v>-1150</v>
      </c>
      <c r="K100" s="18">
        <v>-1200</v>
      </c>
      <c r="L100" s="18">
        <v>-1150</v>
      </c>
    </row>
    <row r="101" spans="1:12" ht="16.5" outlineLevel="1" x14ac:dyDescent="0.3">
      <c r="A101" s="16" t="s">
        <v>159</v>
      </c>
      <c r="B101" s="17"/>
      <c r="C101" s="21">
        <f>SUM(C96:C100)</f>
        <v>-19675</v>
      </c>
      <c r="D101" s="21">
        <f t="shared" ref="D101:G101" si="50">SUM(D96:D100)</f>
        <v>-9830</v>
      </c>
      <c r="E101" s="21">
        <f t="shared" si="50"/>
        <v>7375</v>
      </c>
      <c r="F101" s="21">
        <f t="shared" si="50"/>
        <v>-10566</v>
      </c>
      <c r="G101" s="21">
        <f t="shared" si="50"/>
        <v>-20421</v>
      </c>
      <c r="H101" s="21">
        <f>SUM(H96:H100)</f>
        <v>-35044.732000000004</v>
      </c>
      <c r="I101" s="21">
        <f t="shared" ref="I101:L101" si="51">SUM(I96:I100)</f>
        <v>-46920.8704</v>
      </c>
      <c r="J101" s="21">
        <f t="shared" si="51"/>
        <v>-55132.153071999994</v>
      </c>
      <c r="K101" s="21">
        <f t="shared" si="51"/>
        <v>-62268.385155072006</v>
      </c>
      <c r="L101" s="21">
        <f t="shared" si="51"/>
        <v>-69504.922299392012</v>
      </c>
    </row>
    <row r="102" spans="1:12" ht="16.5" outlineLevel="1" x14ac:dyDescent="0.3">
      <c r="A102" s="11"/>
    </row>
    <row r="103" spans="1:12" ht="16.5" outlineLevel="1" x14ac:dyDescent="0.3">
      <c r="A103" s="13" t="s">
        <v>160</v>
      </c>
    </row>
    <row r="104" spans="1:12" ht="16.5" outlineLevel="1" x14ac:dyDescent="0.3">
      <c r="A104" s="11" t="s">
        <v>187</v>
      </c>
      <c r="C104" s="18">
        <f>'Raw Cash Flow'!C29</f>
        <v>4968</v>
      </c>
      <c r="D104" s="18">
        <f>'Raw Cash Flow'!D29</f>
        <v>4977</v>
      </c>
      <c r="E104" s="18">
        <f>'Raw Cash Flow'!E29</f>
        <v>0</v>
      </c>
      <c r="F104" s="18">
        <f>'Raw Cash Flow'!F29</f>
        <v>0</v>
      </c>
      <c r="G104" s="18">
        <f>'Raw Cash Flow'!G29</f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ht="16.5" outlineLevel="1" x14ac:dyDescent="0.3">
      <c r="A105" s="11" t="s">
        <v>188</v>
      </c>
      <c r="C105" s="18">
        <f>'Raw Cash Flow'!C33</f>
        <v>0</v>
      </c>
      <c r="D105" s="18">
        <f>'Raw Cash Flow'!D33</f>
        <v>-1000</v>
      </c>
      <c r="E105" s="18">
        <f>'Raw Cash Flow'!E33</f>
        <v>0</v>
      </c>
      <c r="F105" s="18">
        <f>'Raw Cash Flow'!F33</f>
        <v>-1250</v>
      </c>
      <c r="G105" s="18">
        <f>'Raw Cash Flow'!G33</f>
        <v>-1250</v>
      </c>
      <c r="H105" s="18">
        <f>H27</f>
        <v>-2000</v>
      </c>
      <c r="I105" s="18">
        <f>I27</f>
        <v>-2000</v>
      </c>
      <c r="J105" s="18">
        <f>J27</f>
        <v>-1000</v>
      </c>
      <c r="K105" s="18">
        <f>K27</f>
        <v>-1000</v>
      </c>
      <c r="L105" s="18">
        <f>L27</f>
        <v>-1000</v>
      </c>
    </row>
    <row r="106" spans="1:12" ht="16.5" outlineLevel="1" x14ac:dyDescent="0.3">
      <c r="A106" s="11" t="s">
        <v>310</v>
      </c>
      <c r="C106" s="18">
        <f>'Raw Cash Flow'!C31</f>
        <v>0</v>
      </c>
      <c r="D106" s="18">
        <f>'Raw Cash Flow'!D31</f>
        <v>0</v>
      </c>
      <c r="E106" s="18">
        <f>'Raw Cash Flow'!E31</f>
        <v>-10039</v>
      </c>
      <c r="F106" s="18">
        <f>'Raw Cash Flow'!F31</f>
        <v>-9533</v>
      </c>
      <c r="G106" s="18">
        <f>'Raw Cash Flow'!G31</f>
        <v>-33706</v>
      </c>
      <c r="H106" s="18">
        <f>-H46*H24</f>
        <v>-53729.823540000005</v>
      </c>
      <c r="I106" s="18">
        <f>-I46*I24</f>
        <v>-63538.848125367345</v>
      </c>
      <c r="J106" s="18">
        <f>-J46*J24</f>
        <v>-67841.002499203358</v>
      </c>
      <c r="K106" s="18">
        <f>-K46*K24</f>
        <v>-71713.994032713861</v>
      </c>
      <c r="L106" s="18">
        <f>-L46*L24</f>
        <v>-74725.297502413378</v>
      </c>
    </row>
    <row r="107" spans="1:12" ht="16.5" outlineLevel="1" x14ac:dyDescent="0.3">
      <c r="A107" s="11" t="s">
        <v>111</v>
      </c>
      <c r="C107" s="18">
        <f>'Raw Cash Flow'!C34</f>
        <v>-395</v>
      </c>
      <c r="D107" s="18">
        <f>'Raw Cash Flow'!D34</f>
        <v>-399</v>
      </c>
      <c r="E107" s="18">
        <f>'Raw Cash Flow'!E34</f>
        <v>-398</v>
      </c>
      <c r="F107" s="18">
        <f>'Raw Cash Flow'!F34</f>
        <v>-395</v>
      </c>
      <c r="G107" s="18">
        <f>'Raw Cash Flow'!G34</f>
        <v>-834</v>
      </c>
      <c r="H107" s="18">
        <f>-H46*H25</f>
        <v>-2149.1929416000003</v>
      </c>
      <c r="I107" s="18">
        <f>-I46*I25</f>
        <v>-2541.553925014694</v>
      </c>
      <c r="J107" s="18">
        <f>-J46*J25</f>
        <v>-4070.4601499522014</v>
      </c>
      <c r="K107" s="18">
        <f>-K46*K25</f>
        <v>-5737.1195226171094</v>
      </c>
      <c r="L107" s="18">
        <f>-L46*L25</f>
        <v>-5978.0238001930702</v>
      </c>
    </row>
    <row r="108" spans="1:12" ht="16.5" outlineLevel="1" x14ac:dyDescent="0.3">
      <c r="A108" s="11" t="s">
        <v>190</v>
      </c>
      <c r="C108" s="18">
        <f>'Raw Cash Flow'!C30</f>
        <v>194</v>
      </c>
      <c r="D108" s="18">
        <f>'Raw Cash Flow'!D30</f>
        <v>281</v>
      </c>
      <c r="E108" s="18">
        <f>'Raw Cash Flow'!E30</f>
        <v>355</v>
      </c>
      <c r="F108" s="18">
        <f>'Raw Cash Flow'!F30</f>
        <v>403</v>
      </c>
      <c r="G108" s="18">
        <f>'Raw Cash Flow'!G30</f>
        <v>490</v>
      </c>
      <c r="H108" s="18">
        <f>H84*7%</f>
        <v>584.62656000000015</v>
      </c>
      <c r="I108" s="18">
        <f t="shared" ref="I108:L108" si="52">I84*7%</f>
        <v>722.01380160000008</v>
      </c>
      <c r="J108" s="18">
        <f t="shared" si="52"/>
        <v>784.71500016000016</v>
      </c>
      <c r="K108" s="18">
        <f t="shared" si="52"/>
        <v>828.65904016896025</v>
      </c>
      <c r="L108" s="18">
        <f t="shared" si="52"/>
        <v>828.65904016896013</v>
      </c>
    </row>
    <row r="109" spans="1:12" ht="16.5" outlineLevel="1" x14ac:dyDescent="0.3">
      <c r="A109" s="11" t="s">
        <v>191</v>
      </c>
      <c r="C109" s="18">
        <f>'Raw Cash Flow'!C32</f>
        <v>-942</v>
      </c>
      <c r="D109" s="18">
        <f>'Raw Cash Flow'!D32</f>
        <v>-1904</v>
      </c>
      <c r="E109" s="18">
        <f>'Raw Cash Flow'!E32</f>
        <v>-1475</v>
      </c>
      <c r="F109" s="18">
        <f>'Raw Cash Flow'!F32</f>
        <v>-2783</v>
      </c>
      <c r="G109" s="18">
        <f>'Raw Cash Flow'!G32</f>
        <v>-6930</v>
      </c>
      <c r="H109" s="18">
        <f>-H84*30%</f>
        <v>-2505.5424000000003</v>
      </c>
      <c r="I109" s="18">
        <f t="shared" ref="I109:L109" si="53">-I84*30%</f>
        <v>-3094.3448639999997</v>
      </c>
      <c r="J109" s="18">
        <f t="shared" si="53"/>
        <v>-3363.0642864000001</v>
      </c>
      <c r="K109" s="18">
        <f t="shared" si="53"/>
        <v>-3551.3958864384008</v>
      </c>
      <c r="L109" s="18">
        <f t="shared" si="53"/>
        <v>-3551.3958864383999</v>
      </c>
    </row>
    <row r="110" spans="1:12" ht="16.5" outlineLevel="1" x14ac:dyDescent="0.3">
      <c r="A110" s="11" t="s">
        <v>192</v>
      </c>
      <c r="C110" s="18">
        <f>'Raw Cash Flow'!C35+'Raw Cash Flow'!C36</f>
        <v>-21</v>
      </c>
      <c r="D110" s="18">
        <f>'Raw Cash Flow'!D35+'Raw Cash Flow'!D36</f>
        <v>-90</v>
      </c>
      <c r="E110" s="18">
        <f>'Raw Cash Flow'!E35+'Raw Cash Flow'!E36</f>
        <v>-60</v>
      </c>
      <c r="F110" s="18">
        <f>'Raw Cash Flow'!F35+'Raw Cash Flow'!F36</f>
        <v>-75</v>
      </c>
      <c r="G110" s="18">
        <f>'Raw Cash Flow'!G35+'Raw Cash Flow'!G36</f>
        <v>-129</v>
      </c>
      <c r="H110" s="18">
        <v>-100</v>
      </c>
      <c r="I110" s="18">
        <v>-150</v>
      </c>
      <c r="J110" s="18">
        <v>-200</v>
      </c>
      <c r="K110" s="18">
        <v>-250</v>
      </c>
      <c r="L110" s="18">
        <v>-100</v>
      </c>
    </row>
    <row r="111" spans="1:12" ht="16.5" outlineLevel="1" x14ac:dyDescent="0.3">
      <c r="A111" s="16" t="s">
        <v>161</v>
      </c>
      <c r="B111" s="17"/>
      <c r="C111" s="21">
        <f t="shared" ref="C111:H111" si="54">SUM(C104:C110)</f>
        <v>3804</v>
      </c>
      <c r="D111" s="21">
        <f t="shared" si="54"/>
        <v>1865</v>
      </c>
      <c r="E111" s="21">
        <f t="shared" si="54"/>
        <v>-11617</v>
      </c>
      <c r="F111" s="21">
        <f t="shared" si="54"/>
        <v>-13633</v>
      </c>
      <c r="G111" s="21">
        <f t="shared" si="54"/>
        <v>-42359</v>
      </c>
      <c r="H111" s="21">
        <f t="shared" si="54"/>
        <v>-59899.932321600005</v>
      </c>
      <c r="I111" s="21">
        <f t="shared" ref="I111:L111" si="55">SUM(I104:I110)</f>
        <v>-70602.733112782036</v>
      </c>
      <c r="J111" s="21">
        <f t="shared" si="55"/>
        <v>-75689.811935395555</v>
      </c>
      <c r="K111" s="21">
        <f t="shared" si="55"/>
        <v>-81423.850401600415</v>
      </c>
      <c r="L111" s="21">
        <f t="shared" si="55"/>
        <v>-84526.058148875891</v>
      </c>
    </row>
    <row r="112" spans="1:12" ht="16.5" outlineLevel="1" x14ac:dyDescent="0.3">
      <c r="A112" s="11"/>
    </row>
    <row r="113" spans="1:12" ht="16.5" outlineLevel="1" x14ac:dyDescent="0.3">
      <c r="A113" s="13" t="s">
        <v>162</v>
      </c>
      <c r="C113" s="19">
        <f t="shared" ref="C113:H113" si="56">C93+C101+C111</f>
        <v>-10049</v>
      </c>
      <c r="D113" s="19">
        <f t="shared" si="56"/>
        <v>1143</v>
      </c>
      <c r="E113" s="19">
        <f t="shared" si="56"/>
        <v>1399</v>
      </c>
      <c r="F113" s="19">
        <f t="shared" si="56"/>
        <v>3891</v>
      </c>
      <c r="G113" s="19">
        <f t="shared" si="56"/>
        <v>1309</v>
      </c>
      <c r="H113" s="18">
        <f t="shared" si="56"/>
        <v>13125.089689906832</v>
      </c>
      <c r="I113" s="18">
        <f t="shared" ref="I113:L113" si="57">I93+I101+I111</f>
        <v>15094.963599048569</v>
      </c>
      <c r="J113" s="18">
        <f t="shared" si="57"/>
        <v>13528.587805907038</v>
      </c>
      <c r="K113" s="18">
        <f t="shared" si="57"/>
        <v>11772.848351104214</v>
      </c>
      <c r="L113" s="18">
        <f t="shared" si="57"/>
        <v>13378.646650454539</v>
      </c>
    </row>
    <row r="114" spans="1:12" ht="16.5" outlineLevel="1" x14ac:dyDescent="0.3">
      <c r="A114" s="11" t="s">
        <v>163</v>
      </c>
      <c r="C114" s="18">
        <f>'Raw Cash Flow'!C39</f>
        <v>10896</v>
      </c>
      <c r="D114" s="18">
        <f>C115</f>
        <v>847</v>
      </c>
      <c r="E114" s="18">
        <f t="shared" ref="E114:G114" si="58">D115</f>
        <v>1990</v>
      </c>
      <c r="F114" s="18">
        <f t="shared" si="58"/>
        <v>3389</v>
      </c>
      <c r="G114" s="18">
        <f t="shared" si="58"/>
        <v>7280</v>
      </c>
      <c r="H114" s="18">
        <f>G115</f>
        <v>8589</v>
      </c>
      <c r="I114" s="18">
        <f t="shared" ref="I114:L114" si="59">H115</f>
        <v>21714.089689906832</v>
      </c>
      <c r="J114" s="18">
        <f t="shared" si="59"/>
        <v>36809.053288955402</v>
      </c>
      <c r="K114" s="18">
        <f t="shared" si="59"/>
        <v>50337.64109486244</v>
      </c>
      <c r="L114" s="18">
        <f t="shared" si="59"/>
        <v>62110.489445966654</v>
      </c>
    </row>
    <row r="115" spans="1:12" ht="16.5" outlineLevel="1" x14ac:dyDescent="0.3">
      <c r="A115" s="16" t="s">
        <v>164</v>
      </c>
      <c r="B115" s="17"/>
      <c r="C115" s="21">
        <f>SUM(C113:C114)</f>
        <v>847</v>
      </c>
      <c r="D115" s="21">
        <f>SUM(D113:D114)</f>
        <v>1990</v>
      </c>
      <c r="E115" s="21">
        <f t="shared" ref="E115:G115" si="60">SUM(E113:E114)</f>
        <v>3389</v>
      </c>
      <c r="F115" s="21">
        <f t="shared" si="60"/>
        <v>7280</v>
      </c>
      <c r="G115" s="21">
        <f t="shared" si="60"/>
        <v>8589</v>
      </c>
      <c r="H115" s="21">
        <f>SUM(H113:H114)</f>
        <v>21714.089689906832</v>
      </c>
      <c r="I115" s="21">
        <f t="shared" ref="I115:L115" si="61">SUM(I113:I114)</f>
        <v>36809.053288955402</v>
      </c>
      <c r="J115" s="21">
        <f t="shared" si="61"/>
        <v>50337.64109486244</v>
      </c>
      <c r="K115" s="21">
        <f t="shared" si="61"/>
        <v>62110.489445966654</v>
      </c>
      <c r="L115" s="21">
        <f t="shared" si="61"/>
        <v>75489.136096421193</v>
      </c>
    </row>
    <row r="118" spans="1:12" ht="17.25" x14ac:dyDescent="0.3">
      <c r="A118" s="14" t="s">
        <v>290</v>
      </c>
      <c r="B118" s="14"/>
      <c r="C118" s="15">
        <v>2021</v>
      </c>
      <c r="D118" s="15">
        <v>2022</v>
      </c>
      <c r="E118" s="15">
        <v>2023</v>
      </c>
      <c r="F118" s="15">
        <v>2024</v>
      </c>
      <c r="G118" s="15">
        <v>2025</v>
      </c>
      <c r="H118" s="12">
        <v>2026</v>
      </c>
      <c r="I118" s="12">
        <v>2027</v>
      </c>
      <c r="J118" s="12">
        <v>2028</v>
      </c>
      <c r="K118" s="12">
        <v>2029</v>
      </c>
      <c r="L118" s="12">
        <v>2030</v>
      </c>
    </row>
    <row r="121" spans="1:12" outlineLevel="1" x14ac:dyDescent="0.2">
      <c r="A121" s="20" t="s">
        <v>291</v>
      </c>
    </row>
    <row r="122" spans="1:12" outlineLevel="1" x14ac:dyDescent="0.2">
      <c r="A122" s="1" t="s">
        <v>292</v>
      </c>
      <c r="C122" s="25">
        <f>C114</f>
        <v>10896</v>
      </c>
      <c r="D122" s="25">
        <f t="shared" ref="D122:G122" si="62">D114</f>
        <v>847</v>
      </c>
      <c r="E122" s="25">
        <f t="shared" si="62"/>
        <v>1990</v>
      </c>
      <c r="F122" s="25">
        <f t="shared" si="62"/>
        <v>3389</v>
      </c>
      <c r="G122" s="25">
        <f t="shared" si="62"/>
        <v>7280</v>
      </c>
      <c r="H122" s="18">
        <f>G123</f>
        <v>8589</v>
      </c>
      <c r="I122" s="18">
        <f t="shared" ref="I122:L122" si="63">H123</f>
        <v>21714.089689906832</v>
      </c>
      <c r="J122" s="18">
        <f t="shared" si="63"/>
        <v>36809.053288955402</v>
      </c>
      <c r="K122" s="18">
        <f t="shared" si="63"/>
        <v>50337.64109486244</v>
      </c>
      <c r="L122" s="18">
        <f t="shared" si="63"/>
        <v>62110.489445966654</v>
      </c>
    </row>
    <row r="123" spans="1:12" outlineLevel="1" x14ac:dyDescent="0.2">
      <c r="A123" s="1" t="s">
        <v>293</v>
      </c>
      <c r="C123" s="25">
        <f>C115</f>
        <v>847</v>
      </c>
      <c r="D123" s="25">
        <f>D115</f>
        <v>1990</v>
      </c>
      <c r="E123" s="25">
        <f t="shared" ref="E123:G123" si="64">E115</f>
        <v>3389</v>
      </c>
      <c r="F123" s="25">
        <f t="shared" si="64"/>
        <v>7280</v>
      </c>
      <c r="G123" s="25">
        <f t="shared" si="64"/>
        <v>8589</v>
      </c>
      <c r="H123" s="18">
        <f>H115</f>
        <v>21714.089689906832</v>
      </c>
      <c r="I123" s="18">
        <f t="shared" ref="I123:L123" si="65">I115</f>
        <v>36809.053288955402</v>
      </c>
      <c r="J123" s="18">
        <f t="shared" si="65"/>
        <v>50337.64109486244</v>
      </c>
      <c r="K123" s="18">
        <f t="shared" si="65"/>
        <v>62110.489445966654</v>
      </c>
      <c r="L123" s="18">
        <f t="shared" si="65"/>
        <v>75489.136096421193</v>
      </c>
    </row>
    <row r="124" spans="1:12" outlineLevel="1" x14ac:dyDescent="0.2"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outlineLevel="1" x14ac:dyDescent="0.2">
      <c r="A125" s="20" t="s">
        <v>294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outlineLevel="1" x14ac:dyDescent="0.2">
      <c r="A126" s="1" t="s">
        <v>295</v>
      </c>
      <c r="C126" s="25">
        <f>'Raw Balance Sheet'!B23+'Raw Balance Sheet'!B21</f>
        <v>1991</v>
      </c>
      <c r="D126" s="25">
        <f>C127</f>
        <v>6963</v>
      </c>
      <c r="E126" s="25">
        <f t="shared" ref="E126:G126" si="66">D127</f>
        <v>10946</v>
      </c>
      <c r="F126" s="25">
        <f t="shared" si="66"/>
        <v>10953</v>
      </c>
      <c r="G126" s="25">
        <f t="shared" si="66"/>
        <v>9709</v>
      </c>
      <c r="H126" s="18">
        <f>G127</f>
        <v>8463</v>
      </c>
      <c r="I126" s="18">
        <f t="shared" ref="I126:L126" si="67">H127</f>
        <v>6463</v>
      </c>
      <c r="J126" s="18">
        <f t="shared" si="67"/>
        <v>4463</v>
      </c>
      <c r="K126" s="18">
        <f t="shared" si="67"/>
        <v>3463</v>
      </c>
      <c r="L126" s="18">
        <f t="shared" si="67"/>
        <v>2463</v>
      </c>
    </row>
    <row r="127" spans="1:12" outlineLevel="1" x14ac:dyDescent="0.2">
      <c r="A127" s="1" t="s">
        <v>296</v>
      </c>
      <c r="C127" s="25">
        <f t="shared" ref="C127:L127" si="68">C65</f>
        <v>6963</v>
      </c>
      <c r="D127" s="25">
        <f t="shared" si="68"/>
        <v>10946</v>
      </c>
      <c r="E127" s="25">
        <f t="shared" si="68"/>
        <v>10953</v>
      </c>
      <c r="F127" s="25">
        <f t="shared" si="68"/>
        <v>9709</v>
      </c>
      <c r="G127" s="25">
        <f t="shared" si="68"/>
        <v>8463</v>
      </c>
      <c r="H127" s="18">
        <f t="shared" si="68"/>
        <v>6463</v>
      </c>
      <c r="I127" s="18">
        <f t="shared" si="68"/>
        <v>4463</v>
      </c>
      <c r="J127" s="18">
        <f t="shared" si="68"/>
        <v>3463</v>
      </c>
      <c r="K127" s="18">
        <f t="shared" si="68"/>
        <v>2463</v>
      </c>
      <c r="L127" s="18">
        <f t="shared" si="68"/>
        <v>1463</v>
      </c>
    </row>
    <row r="128" spans="1:12" outlineLevel="1" x14ac:dyDescent="0.2"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outlineLevel="1" x14ac:dyDescent="0.2">
      <c r="A129" s="20" t="s">
        <v>297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outlineLevel="1" x14ac:dyDescent="0.2">
      <c r="A130" s="1" t="s">
        <v>275</v>
      </c>
      <c r="C130" s="25">
        <f>'Raw P&amp;L'!B11</f>
        <v>57</v>
      </c>
      <c r="D130" s="25">
        <f>'Raw P&amp;L'!C11</f>
        <v>29</v>
      </c>
      <c r="E130" s="25">
        <f>'Raw P&amp;L'!D11</f>
        <v>267</v>
      </c>
      <c r="F130" s="25">
        <f>'Raw P&amp;L'!E11</f>
        <v>866</v>
      </c>
      <c r="G130" s="25">
        <f>'Raw P&amp;L'!F11</f>
        <v>1786</v>
      </c>
      <c r="H130" s="18">
        <f>H122*H22</f>
        <v>1717.8000000000002</v>
      </c>
      <c r="I130" s="18">
        <f>I122*I22</f>
        <v>2822.8316596878881</v>
      </c>
      <c r="J130" s="18">
        <f>J122*J22</f>
        <v>4417.0863946746476</v>
      </c>
      <c r="K130" s="18">
        <f>K122*K22</f>
        <v>5537.1405204348684</v>
      </c>
      <c r="L130" s="18">
        <f>L122*L22</f>
        <v>6211.0489445966659</v>
      </c>
    </row>
    <row r="131" spans="1:12" outlineLevel="1" x14ac:dyDescent="0.2">
      <c r="A131" s="1" t="s">
        <v>142</v>
      </c>
      <c r="C131" s="25">
        <f>'Raw P&amp;L'!B12</f>
        <v>-184</v>
      </c>
      <c r="D131" s="25">
        <f>'Raw P&amp;L'!C12</f>
        <v>-236</v>
      </c>
      <c r="E131" s="25">
        <f>'Raw P&amp;L'!D12</f>
        <v>-262</v>
      </c>
      <c r="F131" s="25">
        <f>'Raw P&amp;L'!E12</f>
        <v>-257</v>
      </c>
      <c r="G131" s="25">
        <f>'Raw P&amp;L'!F12</f>
        <v>-247</v>
      </c>
      <c r="H131" s="18">
        <f>-H126*I23</f>
        <v>-253.89</v>
      </c>
      <c r="I131" s="18">
        <f>-I126*J23</f>
        <v>-193.89</v>
      </c>
      <c r="J131" s="18">
        <f>-J126*K23</f>
        <v>-133.88999999999999</v>
      </c>
      <c r="K131" s="18">
        <f>-K126*L23</f>
        <v>-103.89</v>
      </c>
      <c r="L131" s="18">
        <f>-L126*L23</f>
        <v>-73.89</v>
      </c>
    </row>
    <row r="132" spans="1:12" outlineLevel="1" x14ac:dyDescent="0.2">
      <c r="A132" s="17" t="s">
        <v>178</v>
      </c>
      <c r="B132" s="17"/>
      <c r="C132" s="26">
        <f>SUM(C130:C131)</f>
        <v>-127</v>
      </c>
      <c r="D132" s="26">
        <f t="shared" ref="D132:G132" si="69">SUM(D130:D131)</f>
        <v>-207</v>
      </c>
      <c r="E132" s="26">
        <f t="shared" si="69"/>
        <v>5</v>
      </c>
      <c r="F132" s="26">
        <f t="shared" si="69"/>
        <v>609</v>
      </c>
      <c r="G132" s="26">
        <f t="shared" si="69"/>
        <v>1539</v>
      </c>
      <c r="H132" s="24">
        <f t="shared" ref="H132" si="70">SUM(H130:H131)</f>
        <v>1463.9100000000003</v>
      </c>
      <c r="I132" s="24">
        <f t="shared" ref="I132" si="71">SUM(I130:I131)</f>
        <v>2628.9416596878882</v>
      </c>
      <c r="J132" s="24">
        <f t="shared" ref="J132" si="72">SUM(J130:J131)</f>
        <v>4283.1963946746473</v>
      </c>
      <c r="K132" s="24">
        <f t="shared" ref="K132" si="73">SUM(K130:K131)</f>
        <v>5433.2505204348681</v>
      </c>
      <c r="L132" s="24">
        <f t="shared" ref="L132" si="74">SUM(L130:L131)</f>
        <v>6137.1589445966656</v>
      </c>
    </row>
    <row r="133" spans="1:12" outlineLevel="1" x14ac:dyDescent="0.2"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outlineLevel="1" x14ac:dyDescent="0.2">
      <c r="A134" s="20" t="s">
        <v>298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outlineLevel="1" x14ac:dyDescent="0.2">
      <c r="A135" s="1" t="s">
        <v>299</v>
      </c>
      <c r="C135" s="25">
        <f>'Raw Balance Sheet'!B10</f>
        <v>1674</v>
      </c>
      <c r="D135" s="25">
        <f>C138</f>
        <v>2149</v>
      </c>
      <c r="E135" s="25">
        <f t="shared" ref="E135:G135" si="75">D138</f>
        <v>2778</v>
      </c>
      <c r="F135" s="25">
        <f t="shared" si="75"/>
        <v>3807</v>
      </c>
      <c r="G135" s="25">
        <f t="shared" si="75"/>
        <v>3914</v>
      </c>
      <c r="H135" s="18">
        <f>G138</f>
        <v>6283</v>
      </c>
      <c r="I135" s="18">
        <f t="shared" ref="I135:L135" si="76">H138</f>
        <v>11580.272000000003</v>
      </c>
      <c r="J135" s="18">
        <f t="shared" si="76"/>
        <v>18731.935360000003</v>
      </c>
      <c r="K135" s="18">
        <f t="shared" si="76"/>
        <v>25736.708870400005</v>
      </c>
      <c r="L135" s="18">
        <f t="shared" si="76"/>
        <v>33082.224212352005</v>
      </c>
    </row>
    <row r="136" spans="1:12" outlineLevel="1" x14ac:dyDescent="0.2">
      <c r="A136" s="1" t="s">
        <v>166</v>
      </c>
      <c r="C136" s="25">
        <f t="shared" ref="C136:L136" si="77">-C96</f>
        <v>1128</v>
      </c>
      <c r="D136" s="25">
        <f t="shared" si="77"/>
        <v>976</v>
      </c>
      <c r="E136" s="25">
        <f t="shared" si="77"/>
        <v>1833</v>
      </c>
      <c r="F136" s="25">
        <f t="shared" si="77"/>
        <v>1069</v>
      </c>
      <c r="G136" s="25">
        <f t="shared" si="77"/>
        <v>3236</v>
      </c>
      <c r="H136" s="18">
        <f t="shared" si="77"/>
        <v>7307.8320000000012</v>
      </c>
      <c r="I136" s="18">
        <f t="shared" si="77"/>
        <v>10857.350400000001</v>
      </c>
      <c r="J136" s="18">
        <f t="shared" si="77"/>
        <v>12811.673472</v>
      </c>
      <c r="K136" s="18">
        <f t="shared" si="77"/>
        <v>15066.528003072002</v>
      </c>
      <c r="L136" s="18">
        <f t="shared" si="77"/>
        <v>17756.979432192002</v>
      </c>
    </row>
    <row r="137" spans="1:12" outlineLevel="1" x14ac:dyDescent="0.2">
      <c r="A137" s="1" t="s">
        <v>300</v>
      </c>
      <c r="C137" s="25">
        <f t="shared" ref="C137:L137" si="78">C83</f>
        <v>1098</v>
      </c>
      <c r="D137" s="25">
        <f t="shared" si="78"/>
        <v>1174</v>
      </c>
      <c r="E137" s="25">
        <f t="shared" si="78"/>
        <v>1544</v>
      </c>
      <c r="F137" s="25">
        <f t="shared" si="78"/>
        <v>1508</v>
      </c>
      <c r="G137" s="25">
        <f t="shared" si="78"/>
        <v>1864</v>
      </c>
      <c r="H137" s="18">
        <f t="shared" si="78"/>
        <v>2010.56</v>
      </c>
      <c r="I137" s="18">
        <f t="shared" si="78"/>
        <v>3705.6870400000007</v>
      </c>
      <c r="J137" s="18">
        <f t="shared" si="78"/>
        <v>5806.899961600001</v>
      </c>
      <c r="K137" s="18">
        <f t="shared" si="78"/>
        <v>7721.0126611200012</v>
      </c>
      <c r="L137" s="18">
        <f t="shared" si="78"/>
        <v>9924.6672637056017</v>
      </c>
    </row>
    <row r="138" spans="1:12" outlineLevel="1" x14ac:dyDescent="0.2">
      <c r="A138" s="1" t="s">
        <v>301</v>
      </c>
      <c r="C138" s="25">
        <f>C59</f>
        <v>2149</v>
      </c>
      <c r="D138" s="25">
        <f>D59</f>
        <v>2778</v>
      </c>
      <c r="E138" s="25">
        <f>E59</f>
        <v>3807</v>
      </c>
      <c r="F138" s="25">
        <f>F59</f>
        <v>3914</v>
      </c>
      <c r="G138" s="25">
        <f>G59</f>
        <v>6283</v>
      </c>
      <c r="H138" s="18">
        <f>H135+H136-H137</f>
        <v>11580.272000000003</v>
      </c>
      <c r="I138" s="18">
        <f t="shared" ref="I138:L138" si="79">I135+I136-I137</f>
        <v>18731.935360000003</v>
      </c>
      <c r="J138" s="18">
        <f t="shared" si="79"/>
        <v>25736.708870400005</v>
      </c>
      <c r="K138" s="18">
        <f t="shared" si="79"/>
        <v>33082.224212352005</v>
      </c>
      <c r="L138" s="18">
        <f t="shared" si="79"/>
        <v>40914.536380838399</v>
      </c>
    </row>
    <row r="139" spans="1:12" outlineLevel="1" x14ac:dyDescent="0.2"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outlineLevel="1" x14ac:dyDescent="0.2">
      <c r="A140" s="20" t="s">
        <v>304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outlineLevel="1" x14ac:dyDescent="0.2">
      <c r="A141" s="1" t="s">
        <v>103</v>
      </c>
      <c r="C141" s="25">
        <f t="shared" ref="C141:G142" si="80">C57</f>
        <v>2429</v>
      </c>
      <c r="D141" s="25">
        <f t="shared" si="80"/>
        <v>4650</v>
      </c>
      <c r="E141" s="25">
        <f t="shared" si="80"/>
        <v>3827</v>
      </c>
      <c r="F141" s="25">
        <f t="shared" si="80"/>
        <v>9999</v>
      </c>
      <c r="G141" s="25">
        <f t="shared" si="80"/>
        <v>23065</v>
      </c>
      <c r="H141" s="18">
        <f>H34*H15/H28</f>
        <v>35466.581917808224</v>
      </c>
      <c r="I141" s="18">
        <f>I34*I15/I28</f>
        <v>46106.556493150689</v>
      </c>
      <c r="J141" s="18">
        <f>J34*J15/J28</f>
        <v>55283.24854356164</v>
      </c>
      <c r="K141" s="18">
        <f>K34*K15/K28</f>
        <v>61917.238368789047</v>
      </c>
      <c r="L141" s="18">
        <f>L34*L15/L28</f>
        <v>68108.962205667951</v>
      </c>
    </row>
    <row r="142" spans="1:12" outlineLevel="1" x14ac:dyDescent="0.2">
      <c r="A142" s="1" t="s">
        <v>104</v>
      </c>
      <c r="C142" s="25">
        <f t="shared" si="80"/>
        <v>1826</v>
      </c>
      <c r="D142" s="25">
        <f t="shared" si="80"/>
        <v>2605</v>
      </c>
      <c r="E142" s="25">
        <f t="shared" si="80"/>
        <v>5159</v>
      </c>
      <c r="F142" s="25">
        <f t="shared" si="80"/>
        <v>5282</v>
      </c>
      <c r="G142" s="25">
        <f t="shared" si="80"/>
        <v>10080</v>
      </c>
      <c r="H142" s="18">
        <f>H35*H16/H28</f>
        <v>16360.391013698632</v>
      </c>
      <c r="I142" s="18">
        <f>I35*I16/I28</f>
        <v>22488.10110246576</v>
      </c>
      <c r="J142" s="18">
        <f>J35*J16/J28</f>
        <v>27641.624271780824</v>
      </c>
      <c r="K142" s="18">
        <f>K35*K16/K28</f>
        <v>32393.52661325852</v>
      </c>
      <c r="L142" s="18">
        <f>L35*L16/L28</f>
        <v>34595.028421926574</v>
      </c>
    </row>
    <row r="143" spans="1:12" outlineLevel="1" x14ac:dyDescent="0.2">
      <c r="A143" s="1" t="s">
        <v>108</v>
      </c>
      <c r="C143" s="25">
        <f>C64</f>
        <v>1201</v>
      </c>
      <c r="D143" s="25">
        <f>D64</f>
        <v>1783</v>
      </c>
      <c r="E143" s="25">
        <f>E64</f>
        <v>1193</v>
      </c>
      <c r="F143" s="25">
        <f>F64</f>
        <v>2699</v>
      </c>
      <c r="G143" s="25">
        <f>G64</f>
        <v>6310</v>
      </c>
      <c r="H143" s="18">
        <f>H35*H17/H28</f>
        <v>10113.6962630137</v>
      </c>
      <c r="I143" s="18">
        <f>I35*I17/I28</f>
        <v>14159.174768219182</v>
      </c>
      <c r="J143" s="18">
        <f>J35*J17/J28</f>
        <v>17637.988821041097</v>
      </c>
      <c r="K143" s="18">
        <f>K35*K17/K28</f>
        <v>21071.517311537096</v>
      </c>
      <c r="L143" s="18">
        <f>L35*L17/L28</f>
        <v>23178.669042690803</v>
      </c>
    </row>
    <row r="144" spans="1:12" outlineLevel="1" x14ac:dyDescent="0.2">
      <c r="A144" s="1" t="s">
        <v>305</v>
      </c>
      <c r="C144" s="25">
        <f>'Raw Balance Sheet'!C8+'Raw Balance Sheet'!C5</f>
        <v>10953</v>
      </c>
      <c r="D144" s="25">
        <f>'Raw Balance Sheet'!D8+'Raw Balance Sheet'!D5</f>
        <v>19584</v>
      </c>
      <c r="E144" s="25">
        <f>'Raw Balance Sheet'!E8+'Raw Balance Sheet'!E5</f>
        <v>10698</v>
      </c>
      <c r="F144" s="25">
        <f>'Raw Balance Sheet'!F8+'Raw Balance Sheet'!F5</f>
        <v>21784</v>
      </c>
      <c r="G144" s="25">
        <f>'Raw Balance Sheet'!G8+'Raw Balance Sheet'!G5</f>
        <v>38392</v>
      </c>
      <c r="H144" s="18">
        <f>G144*(1+(2/100))</f>
        <v>39159.840000000004</v>
      </c>
      <c r="I144" s="18">
        <f t="shared" ref="I144:L144" si="81">H144*(1+(2/100))</f>
        <v>39943.036800000002</v>
      </c>
      <c r="J144" s="18">
        <f t="shared" si="81"/>
        <v>40741.897536000004</v>
      </c>
      <c r="K144" s="18">
        <f t="shared" si="81"/>
        <v>41556.735486720005</v>
      </c>
      <c r="L144" s="18">
        <f t="shared" si="81"/>
        <v>42387.870196454409</v>
      </c>
    </row>
    <row r="145" spans="1:12" outlineLevel="1" x14ac:dyDescent="0.2">
      <c r="A145" s="1" t="s">
        <v>306</v>
      </c>
      <c r="C145" s="25">
        <f>C66</f>
        <v>1725</v>
      </c>
      <c r="D145" s="25">
        <f>D66</f>
        <v>2552</v>
      </c>
      <c r="E145" s="25">
        <f>E66</f>
        <v>4120</v>
      </c>
      <c r="F145" s="25">
        <f>F66</f>
        <v>6682</v>
      </c>
      <c r="G145" s="25">
        <f>G66</f>
        <v>11737</v>
      </c>
      <c r="H145" s="18">
        <f>H40*H26</f>
        <v>21923.495999999999</v>
      </c>
      <c r="I145" s="18">
        <f>I40*I26</f>
        <v>31757.749920000002</v>
      </c>
      <c r="J145" s="18">
        <f>J40*J26</f>
        <v>40356.771436799994</v>
      </c>
      <c r="K145" s="18">
        <f>K40*K26</f>
        <v>47351.945152512002</v>
      </c>
      <c r="L145" s="18">
        <f>L40*L26</f>
        <v>56822.334183014413</v>
      </c>
    </row>
    <row r="146" spans="1:12" outlineLevel="1" x14ac:dyDescent="0.2">
      <c r="A146" s="17" t="s">
        <v>307</v>
      </c>
      <c r="B146" s="17"/>
      <c r="C146" s="26">
        <f>(C141+C142+C144)-(C143+C145)</f>
        <v>12282</v>
      </c>
      <c r="D146" s="26">
        <f t="shared" ref="D146:G146" si="82">(D141+D142+D144)-(D143+D145)</f>
        <v>22504</v>
      </c>
      <c r="E146" s="26">
        <f t="shared" si="82"/>
        <v>14371</v>
      </c>
      <c r="F146" s="26">
        <f t="shared" si="82"/>
        <v>27684</v>
      </c>
      <c r="G146" s="26">
        <f t="shared" si="82"/>
        <v>53490</v>
      </c>
      <c r="H146" s="24">
        <f t="shared" ref="H146" si="83">(H141+H142+H144)-(H143+H145)</f>
        <v>58949.620668493168</v>
      </c>
      <c r="I146" s="24">
        <f t="shared" ref="I146" si="84">(I141+I142+I144)-(I143+I145)</f>
        <v>62620.769707397267</v>
      </c>
      <c r="J146" s="24">
        <f t="shared" ref="J146" si="85">(J141+J142+J144)-(J143+J145)</f>
        <v>65672.010093501376</v>
      </c>
      <c r="K146" s="24">
        <f t="shared" ref="K146" si="86">(K141+K142+K144)-(K143+K145)</f>
        <v>67444.038004718474</v>
      </c>
      <c r="L146" s="24">
        <f t="shared" ref="L146" si="87">(L141+L142+L144)-(L143+L145)</f>
        <v>65090.857598343719</v>
      </c>
    </row>
    <row r="147" spans="1:12" outlineLevel="1" x14ac:dyDescent="0.2">
      <c r="A147" s="1" t="s">
        <v>308</v>
      </c>
      <c r="C147" s="25">
        <v>12282</v>
      </c>
      <c r="D147" s="25">
        <f>D146-C146</f>
        <v>10222</v>
      </c>
      <c r="E147" s="25">
        <f t="shared" ref="E147:G147" si="88">E146-D146</f>
        <v>-8133</v>
      </c>
      <c r="F147" s="25">
        <f t="shared" si="88"/>
        <v>13313</v>
      </c>
      <c r="G147" s="25">
        <f t="shared" si="88"/>
        <v>25806</v>
      </c>
      <c r="H147" s="18">
        <f t="shared" ref="H147" si="89">H146-G146</f>
        <v>5459.6206684931676</v>
      </c>
      <c r="I147" s="18">
        <f t="shared" ref="I147" si="90">I146-H146</f>
        <v>3671.1490389040991</v>
      </c>
      <c r="J147" s="18">
        <f t="shared" ref="J147" si="91">J146-I146</f>
        <v>3051.2403861041093</v>
      </c>
      <c r="K147" s="18">
        <f t="shared" ref="K147" si="92">K146-J146</f>
        <v>1772.0279112170974</v>
      </c>
      <c r="L147" s="18">
        <f t="shared" ref="L147" si="93">L146-K146</f>
        <v>-2353.180406374755</v>
      </c>
    </row>
    <row r="148" spans="1:12" outlineLevel="1" x14ac:dyDescent="0.2"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outlineLevel="1" x14ac:dyDescent="0.2">
      <c r="A149" s="1" t="s">
        <v>309</v>
      </c>
      <c r="C149" s="25">
        <f>'Raw Balance Sheet'!C25</f>
        <v>1375</v>
      </c>
      <c r="D149" s="25">
        <f>'Raw Balance Sheet'!D25</f>
        <v>1553</v>
      </c>
      <c r="E149" s="25">
        <f>'Raw Balance Sheet'!E25</f>
        <v>1913</v>
      </c>
      <c r="F149" s="25">
        <f>'Raw Balance Sheet'!F25</f>
        <v>2541</v>
      </c>
      <c r="G149" s="25">
        <f>'Raw Balance Sheet'!G25</f>
        <v>4245</v>
      </c>
      <c r="H149" s="18">
        <f>G149*(1+(30/100))</f>
        <v>5518.5</v>
      </c>
      <c r="I149" s="18">
        <f t="shared" ref="I149:L149" si="94">H149*(1+(30/100))</f>
        <v>7174.05</v>
      </c>
      <c r="J149" s="18">
        <f t="shared" si="94"/>
        <v>9326.2650000000012</v>
      </c>
      <c r="K149" s="18">
        <f t="shared" si="94"/>
        <v>12124.144500000002</v>
      </c>
      <c r="L149" s="18">
        <f t="shared" si="94"/>
        <v>15761.387850000003</v>
      </c>
    </row>
    <row r="150" spans="1:12" outlineLevel="1" x14ac:dyDescent="0.2"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 outlineLevel="1" x14ac:dyDescent="0.2">
      <c r="A151" s="20" t="s">
        <v>302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outlineLevel="1" x14ac:dyDescent="0.2">
      <c r="A152" s="1" t="s">
        <v>303</v>
      </c>
      <c r="C152" s="25">
        <f>C104+C105</f>
        <v>4968</v>
      </c>
      <c r="D152" s="25">
        <f>D104+D105</f>
        <v>3977</v>
      </c>
      <c r="E152" s="25">
        <f>E104+E105</f>
        <v>0</v>
      </c>
      <c r="F152" s="25">
        <f>F104+F105</f>
        <v>-1250</v>
      </c>
      <c r="G152" s="25">
        <f>G104+G105</f>
        <v>-1250</v>
      </c>
      <c r="H152" s="18">
        <f t="shared" ref="H152:L152" si="95">H104+H105</f>
        <v>-2000</v>
      </c>
      <c r="I152" s="18">
        <f t="shared" si="95"/>
        <v>-2000</v>
      </c>
      <c r="J152" s="18">
        <f t="shared" si="95"/>
        <v>-1000</v>
      </c>
      <c r="K152" s="18">
        <f t="shared" si="95"/>
        <v>-1000</v>
      </c>
      <c r="L152" s="18">
        <f t="shared" si="95"/>
        <v>-1000</v>
      </c>
    </row>
    <row r="153" spans="1:12" outlineLevel="1" x14ac:dyDescent="0.2"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 outlineLevel="1" x14ac:dyDescent="0.2">
      <c r="A154" s="20" t="s">
        <v>324</v>
      </c>
      <c r="C154" s="18"/>
      <c r="D154" s="18"/>
      <c r="E154" s="18"/>
      <c r="F154" s="18"/>
      <c r="G154" s="18"/>
      <c r="H154" s="18">
        <f t="shared" ref="H154:L154" si="96">H127-(H126+H152)</f>
        <v>0</v>
      </c>
      <c r="I154" s="18">
        <f t="shared" si="96"/>
        <v>0</v>
      </c>
      <c r="J154" s="18">
        <f t="shared" si="96"/>
        <v>0</v>
      </c>
      <c r="K154" s="18">
        <f t="shared" si="96"/>
        <v>0</v>
      </c>
      <c r="L154" s="18">
        <f t="shared" si="96"/>
        <v>0</v>
      </c>
    </row>
    <row r="155" spans="1:12" x14ac:dyDescent="0.2">
      <c r="H155" s="18"/>
      <c r="I155" s="18"/>
      <c r="J155" s="18"/>
      <c r="K155" s="18"/>
      <c r="L155" s="18"/>
    </row>
    <row r="157" spans="1:12" ht="17.25" x14ac:dyDescent="0.3">
      <c r="A157" s="14" t="s">
        <v>325</v>
      </c>
      <c r="B157" s="15"/>
      <c r="C157" s="15">
        <v>2021</v>
      </c>
      <c r="D157" s="15">
        <v>2022</v>
      </c>
      <c r="E157" s="15">
        <v>2023</v>
      </c>
      <c r="F157" s="15">
        <v>2024</v>
      </c>
      <c r="G157" s="15">
        <v>2025</v>
      </c>
      <c r="H157" s="12">
        <v>2026</v>
      </c>
      <c r="I157" s="12">
        <v>2027</v>
      </c>
      <c r="J157" s="12">
        <v>2028</v>
      </c>
      <c r="K157" s="12">
        <v>2029</v>
      </c>
      <c r="L157" s="12">
        <v>2030</v>
      </c>
    </row>
    <row r="159" spans="1:12" outlineLevel="1" x14ac:dyDescent="0.2">
      <c r="A159" s="1" t="s">
        <v>5</v>
      </c>
      <c r="C159" s="18">
        <f>C34</f>
        <v>16675</v>
      </c>
      <c r="D159" s="18">
        <f t="shared" ref="D159:L159" si="97">D34</f>
        <v>26914</v>
      </c>
      <c r="E159" s="18">
        <f t="shared" si="97"/>
        <v>26974</v>
      </c>
      <c r="F159" s="18">
        <f t="shared" si="97"/>
        <v>60922</v>
      </c>
      <c r="G159" s="18">
        <f t="shared" si="97"/>
        <v>130497</v>
      </c>
      <c r="H159" s="18">
        <f t="shared" si="97"/>
        <v>208795.2</v>
      </c>
      <c r="I159" s="18">
        <f t="shared" si="97"/>
        <v>271433.76</v>
      </c>
      <c r="J159" s="18">
        <f t="shared" si="97"/>
        <v>320291.83679999999</v>
      </c>
      <c r="K159" s="18">
        <f t="shared" si="97"/>
        <v>358726.85721600003</v>
      </c>
      <c r="L159" s="18">
        <f t="shared" si="97"/>
        <v>394599.54293760005</v>
      </c>
    </row>
    <row r="160" spans="1:12" outlineLevel="1" x14ac:dyDescent="0.2">
      <c r="A160" s="1" t="s">
        <v>326</v>
      </c>
      <c r="C160" s="22">
        <f>C36/C34</f>
        <v>0.62344827586206897</v>
      </c>
      <c r="D160" s="22">
        <f t="shared" ref="D160:L160" si="98">D36/D34</f>
        <v>0.64929033216913135</v>
      </c>
      <c r="E160" s="22">
        <f t="shared" si="98"/>
        <v>0.56928894490991322</v>
      </c>
      <c r="F160" s="22">
        <f t="shared" si="98"/>
        <v>0.72717573290436954</v>
      </c>
      <c r="G160" s="22">
        <f t="shared" si="98"/>
        <v>0.74988697058169917</v>
      </c>
      <c r="H160" s="22">
        <f t="shared" si="98"/>
        <v>0.74</v>
      </c>
      <c r="I160" s="22">
        <f t="shared" si="98"/>
        <v>0.71999999999999986</v>
      </c>
      <c r="J160" s="22">
        <f t="shared" si="98"/>
        <v>0.70000000000000007</v>
      </c>
      <c r="K160" s="22">
        <f t="shared" si="98"/>
        <v>0.68</v>
      </c>
      <c r="L160" s="22">
        <f t="shared" si="98"/>
        <v>0.68</v>
      </c>
    </row>
    <row r="161" spans="1:12" outlineLevel="1" x14ac:dyDescent="0.2"/>
    <row r="162" spans="1:12" outlineLevel="1" x14ac:dyDescent="0.2">
      <c r="A162" s="1" t="s">
        <v>156</v>
      </c>
      <c r="C162" s="18">
        <f>C93</f>
        <v>5822</v>
      </c>
      <c r="D162" s="18">
        <f t="shared" ref="D162:L162" si="99">D93</f>
        <v>9108</v>
      </c>
      <c r="E162" s="18">
        <f t="shared" si="99"/>
        <v>5641</v>
      </c>
      <c r="F162" s="18">
        <f t="shared" si="99"/>
        <v>28090</v>
      </c>
      <c r="G162" s="18">
        <f t="shared" si="99"/>
        <v>64089</v>
      </c>
      <c r="H162" s="18">
        <f t="shared" si="99"/>
        <v>108069.75401150684</v>
      </c>
      <c r="I162" s="18">
        <f t="shared" si="99"/>
        <v>132618.56711183061</v>
      </c>
      <c r="J162" s="18">
        <f t="shared" si="99"/>
        <v>144350.55281330258</v>
      </c>
      <c r="K162" s="18">
        <f t="shared" si="99"/>
        <v>155465.08390777663</v>
      </c>
      <c r="L162" s="18">
        <f t="shared" si="99"/>
        <v>167409.62709872244</v>
      </c>
    </row>
    <row r="163" spans="1:12" outlineLevel="1" x14ac:dyDescent="0.2">
      <c r="A163" s="1" t="s">
        <v>158</v>
      </c>
      <c r="C163" s="18">
        <f>C101</f>
        <v>-19675</v>
      </c>
      <c r="D163" s="18">
        <f t="shared" ref="D163:L163" si="100">D101</f>
        <v>-9830</v>
      </c>
      <c r="E163" s="18">
        <f t="shared" si="100"/>
        <v>7375</v>
      </c>
      <c r="F163" s="18">
        <f t="shared" si="100"/>
        <v>-10566</v>
      </c>
      <c r="G163" s="18">
        <f t="shared" si="100"/>
        <v>-20421</v>
      </c>
      <c r="H163" s="18">
        <f t="shared" si="100"/>
        <v>-35044.732000000004</v>
      </c>
      <c r="I163" s="18">
        <f t="shared" si="100"/>
        <v>-46920.8704</v>
      </c>
      <c r="J163" s="18">
        <f t="shared" si="100"/>
        <v>-55132.153071999994</v>
      </c>
      <c r="K163" s="18">
        <f t="shared" si="100"/>
        <v>-62268.385155072006</v>
      </c>
      <c r="L163" s="18">
        <f t="shared" si="100"/>
        <v>-69504.922299392012</v>
      </c>
    </row>
    <row r="164" spans="1:12" outlineLevel="1" x14ac:dyDescent="0.2">
      <c r="A164" s="1" t="s">
        <v>160</v>
      </c>
      <c r="C164" s="18">
        <f>C111</f>
        <v>3804</v>
      </c>
      <c r="D164" s="18">
        <f t="shared" ref="D164:L164" si="101">D111</f>
        <v>1865</v>
      </c>
      <c r="E164" s="18">
        <f t="shared" si="101"/>
        <v>-11617</v>
      </c>
      <c r="F164" s="18">
        <f t="shared" si="101"/>
        <v>-13633</v>
      </c>
      <c r="G164" s="18">
        <f t="shared" si="101"/>
        <v>-42359</v>
      </c>
      <c r="H164" s="18">
        <f t="shared" si="101"/>
        <v>-59899.932321600005</v>
      </c>
      <c r="I164" s="18">
        <f t="shared" si="101"/>
        <v>-70602.733112782036</v>
      </c>
      <c r="J164" s="18">
        <f t="shared" si="101"/>
        <v>-75689.811935395555</v>
      </c>
      <c r="K164" s="18">
        <f t="shared" si="101"/>
        <v>-81423.850401600415</v>
      </c>
      <c r="L164" s="18">
        <f t="shared" si="101"/>
        <v>-84526.058148875891</v>
      </c>
    </row>
    <row r="165" spans="1:12" outlineLevel="1" x14ac:dyDescent="0.2"/>
    <row r="166" spans="1:12" outlineLevel="1" x14ac:dyDescent="0.2"/>
    <row r="167" spans="1:12" outlineLevel="1" x14ac:dyDescent="0.2"/>
    <row r="168" spans="1:12" outlineLevel="1" x14ac:dyDescent="0.2"/>
    <row r="169" spans="1:12" outlineLevel="1" x14ac:dyDescent="0.2"/>
    <row r="170" spans="1:12" outlineLevel="1" x14ac:dyDescent="0.2"/>
    <row r="171" spans="1:12" outlineLevel="1" x14ac:dyDescent="0.2"/>
    <row r="172" spans="1:12" outlineLevel="1" x14ac:dyDescent="0.2"/>
    <row r="173" spans="1:12" outlineLevel="1" x14ac:dyDescent="0.2"/>
    <row r="174" spans="1:12" outlineLevel="1" x14ac:dyDescent="0.2"/>
    <row r="175" spans="1:12" outlineLevel="1" x14ac:dyDescent="0.2"/>
    <row r="176" spans="1:12" outlineLevel="1" x14ac:dyDescent="0.2"/>
    <row r="177" outlineLevel="1" x14ac:dyDescent="0.2"/>
    <row r="178" outlineLevel="1" x14ac:dyDescent="0.2"/>
    <row r="179" outlineLevel="1" x14ac:dyDescent="0.2"/>
    <row r="180" outlineLevel="1" x14ac:dyDescent="0.2"/>
    <row r="181" outlineLevel="1" x14ac:dyDescent="0.2"/>
    <row r="182" outlineLevel="1" x14ac:dyDescent="0.2"/>
    <row r="183" outlineLevel="1" x14ac:dyDescent="0.2"/>
    <row r="184" outlineLevel="1" x14ac:dyDescent="0.2"/>
  </sheetData>
  <sheetProtection algorithmName="SHA-512" hashValue="cvwmfe2r3H2p7J4r9y+CncGhIZSXJshmo57sFnH94JvapCOJ+K0sJjbay7flXDt3WyJpa03rJ6o6PH7jSSWlHg==" saltValue="TCvs8K60X5aTCcSEtg4Pmg==" spinCount="100000" sheet="1" objects="1" scenarios="1" formatRows="0"/>
  <mergeCells count="2">
    <mergeCell ref="C1:G1"/>
    <mergeCell ref="H1:L1"/>
  </mergeCells>
  <conditionalFormatting sqref="C3:L3">
    <cfRule type="containsText" dxfId="1" priority="1" operator="containsText" text="OK">
      <formula>NOT(ISERROR(SEARCH(("OK"),(C3))))</formula>
    </cfRule>
    <cfRule type="containsText" dxfId="0" priority="2" operator="containsText" text="ERROR">
      <formula>NOT(ISERROR(SEARCH(("ERROR"),(C3))))</formula>
    </cfRule>
  </conditionalFormatting>
  <pageMargins left="0.7" right="0.7" top="0.75" bottom="0.75" header="0.3" footer="0.3"/>
  <ignoredErrors>
    <ignoredError sqref="C144 D144:G144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DA20-8C37-4D92-A57C-BFE55D202477}">
  <sheetPr codeName="Sheet6">
    <tabColor theme="4" tint="0.59999389629810485"/>
  </sheetPr>
  <dimension ref="A1:D66"/>
  <sheetViews>
    <sheetView workbookViewId="0">
      <pane ySplit="1" topLeftCell="A14" activePane="bottomLeft" state="frozen"/>
      <selection activeCell="C27" sqref="C27"/>
      <selection pane="bottomLeft" activeCell="D30" sqref="D30"/>
    </sheetView>
  </sheetViews>
  <sheetFormatPr defaultRowHeight="12.75" x14ac:dyDescent="0.2"/>
  <cols>
    <col min="1" max="1" width="16.28515625" style="1" bestFit="1" customWidth="1"/>
    <col min="2" max="2" width="59.28515625" style="1" bestFit="1" customWidth="1"/>
    <col min="3" max="3" width="16.28515625" style="1" bestFit="1" customWidth="1"/>
    <col min="4" max="4" width="50" style="1" bestFit="1" customWidth="1"/>
    <col min="5" max="16384" width="9.140625" style="1"/>
  </cols>
  <sheetData>
    <row r="1" spans="1:4" x14ac:dyDescent="0.2">
      <c r="A1" s="1" t="s">
        <v>259</v>
      </c>
      <c r="B1" s="1" t="s">
        <v>260</v>
      </c>
      <c r="C1" s="1" t="s">
        <v>261</v>
      </c>
      <c r="D1" s="1" t="s">
        <v>262</v>
      </c>
    </row>
    <row r="2" spans="1:4" x14ac:dyDescent="0.2">
      <c r="A2" s="1" t="s">
        <v>93</v>
      </c>
      <c r="B2" s="1" t="s">
        <v>5</v>
      </c>
      <c r="C2" s="1" t="s">
        <v>93</v>
      </c>
      <c r="D2" s="1" t="s">
        <v>94</v>
      </c>
    </row>
    <row r="3" spans="1:4" x14ac:dyDescent="0.2">
      <c r="A3" s="1" t="s">
        <v>93</v>
      </c>
      <c r="B3" s="1" t="s">
        <v>6</v>
      </c>
      <c r="C3" s="1" t="s">
        <v>93</v>
      </c>
      <c r="D3" s="1" t="s">
        <v>95</v>
      </c>
    </row>
    <row r="4" spans="1:4" x14ac:dyDescent="0.2">
      <c r="A4" s="1" t="s">
        <v>93</v>
      </c>
      <c r="B4" s="1" t="s">
        <v>7</v>
      </c>
      <c r="C4" s="1" t="s">
        <v>93</v>
      </c>
      <c r="D4" s="1" t="s">
        <v>96</v>
      </c>
    </row>
    <row r="5" spans="1:4" x14ac:dyDescent="0.2">
      <c r="A5" s="1" t="s">
        <v>93</v>
      </c>
      <c r="B5" s="1" t="s">
        <v>9</v>
      </c>
      <c r="C5" s="1" t="s">
        <v>93</v>
      </c>
      <c r="D5" s="1" t="s">
        <v>120</v>
      </c>
    </row>
    <row r="6" spans="1:4" x14ac:dyDescent="0.2">
      <c r="A6" s="1" t="s">
        <v>93</v>
      </c>
      <c r="B6" s="1" t="s">
        <v>10</v>
      </c>
      <c r="C6" s="1" t="s">
        <v>93</v>
      </c>
      <c r="D6" s="1" t="s">
        <v>112</v>
      </c>
    </row>
    <row r="7" spans="1:4" x14ac:dyDescent="0.2">
      <c r="A7" s="1" t="s">
        <v>93</v>
      </c>
      <c r="B7" s="1" t="s">
        <v>11</v>
      </c>
      <c r="C7" s="1" t="s">
        <v>93</v>
      </c>
      <c r="D7" s="1" t="s">
        <v>121</v>
      </c>
    </row>
    <row r="8" spans="1:4" x14ac:dyDescent="0.2">
      <c r="A8" s="1" t="s">
        <v>93</v>
      </c>
      <c r="B8" s="1" t="s">
        <v>13</v>
      </c>
      <c r="C8" s="1" t="s">
        <v>93</v>
      </c>
      <c r="D8" s="1" t="s">
        <v>97</v>
      </c>
    </row>
    <row r="9" spans="1:4" x14ac:dyDescent="0.2">
      <c r="A9" s="1" t="s">
        <v>93</v>
      </c>
      <c r="B9" s="1" t="s">
        <v>251</v>
      </c>
      <c r="C9" s="1" t="s">
        <v>93</v>
      </c>
      <c r="D9" s="1" t="s">
        <v>98</v>
      </c>
    </row>
    <row r="10" spans="1:4" x14ac:dyDescent="0.2">
      <c r="A10" s="1" t="s">
        <v>93</v>
      </c>
      <c r="B10" s="1" t="s">
        <v>15</v>
      </c>
      <c r="C10" s="1" t="s">
        <v>93</v>
      </c>
      <c r="D10" s="1" t="s">
        <v>178</v>
      </c>
    </row>
    <row r="11" spans="1:4" x14ac:dyDescent="0.2">
      <c r="A11" s="1" t="s">
        <v>93</v>
      </c>
      <c r="B11" s="1" t="s">
        <v>16</v>
      </c>
      <c r="C11" s="1" t="s">
        <v>93</v>
      </c>
      <c r="D11" s="1" t="s">
        <v>178</v>
      </c>
    </row>
    <row r="12" spans="1:4" x14ac:dyDescent="0.2">
      <c r="A12" s="1" t="s">
        <v>93</v>
      </c>
      <c r="B12" s="1" t="s">
        <v>17</v>
      </c>
      <c r="C12" s="1" t="s">
        <v>93</v>
      </c>
      <c r="D12" s="1" t="s">
        <v>250</v>
      </c>
    </row>
    <row r="13" spans="1:4" x14ac:dyDescent="0.2">
      <c r="A13" s="1" t="s">
        <v>93</v>
      </c>
      <c r="B13" s="1" t="s">
        <v>19</v>
      </c>
      <c r="C13" s="1" t="s">
        <v>93</v>
      </c>
      <c r="D13" s="1" t="s">
        <v>99</v>
      </c>
    </row>
    <row r="14" spans="1:4" x14ac:dyDescent="0.2">
      <c r="A14" s="1" t="s">
        <v>93</v>
      </c>
      <c r="B14" s="1" t="s">
        <v>20</v>
      </c>
      <c r="C14" s="1" t="s">
        <v>93</v>
      </c>
      <c r="D14" s="1" t="s">
        <v>100</v>
      </c>
    </row>
    <row r="15" spans="1:4" x14ac:dyDescent="0.2">
      <c r="A15" s="1" t="s">
        <v>93</v>
      </c>
      <c r="B15" s="1" t="s">
        <v>21</v>
      </c>
      <c r="C15" s="1" t="s">
        <v>93</v>
      </c>
      <c r="D15" s="1" t="s">
        <v>101</v>
      </c>
    </row>
    <row r="16" spans="1:4" x14ac:dyDescent="0.2">
      <c r="A16" s="1" t="s">
        <v>113</v>
      </c>
      <c r="B16" s="1" t="s">
        <v>29</v>
      </c>
      <c r="C16" s="1" t="s">
        <v>113</v>
      </c>
      <c r="D16" s="1" t="s">
        <v>148</v>
      </c>
    </row>
    <row r="17" spans="1:4" x14ac:dyDescent="0.2">
      <c r="A17" s="1" t="s">
        <v>113</v>
      </c>
      <c r="B17" s="1" t="s">
        <v>30</v>
      </c>
      <c r="C17" s="1" t="s">
        <v>113</v>
      </c>
      <c r="D17" s="1" t="s">
        <v>154</v>
      </c>
    </row>
    <row r="18" spans="1:4" x14ac:dyDescent="0.2">
      <c r="A18" s="1" t="s">
        <v>113</v>
      </c>
      <c r="B18" s="1" t="s">
        <v>31</v>
      </c>
      <c r="C18" s="1" t="s">
        <v>113</v>
      </c>
      <c r="D18" s="1" t="s">
        <v>103</v>
      </c>
    </row>
    <row r="19" spans="1:4" x14ac:dyDescent="0.2">
      <c r="A19" s="1" t="s">
        <v>113</v>
      </c>
      <c r="B19" s="1" t="s">
        <v>32</v>
      </c>
      <c r="C19" s="1" t="s">
        <v>113</v>
      </c>
      <c r="D19" s="1" t="s">
        <v>104</v>
      </c>
    </row>
    <row r="20" spans="1:4" x14ac:dyDescent="0.2">
      <c r="A20" s="1" t="s">
        <v>113</v>
      </c>
      <c r="B20" s="1" t="s">
        <v>33</v>
      </c>
      <c r="C20" s="1" t="s">
        <v>113</v>
      </c>
      <c r="D20" s="1" t="s">
        <v>154</v>
      </c>
    </row>
    <row r="21" spans="1:4" x14ac:dyDescent="0.2">
      <c r="A21" s="1" t="s">
        <v>113</v>
      </c>
      <c r="B21" s="1" t="s">
        <v>35</v>
      </c>
      <c r="C21" s="1" t="s">
        <v>113</v>
      </c>
      <c r="D21" s="1" t="s">
        <v>149</v>
      </c>
    </row>
    <row r="22" spans="1:4" x14ac:dyDescent="0.2">
      <c r="A22" s="1" t="s">
        <v>113</v>
      </c>
      <c r="B22" s="1" t="s">
        <v>36</v>
      </c>
      <c r="C22" s="1" t="s">
        <v>113</v>
      </c>
      <c r="D22" s="1" t="s">
        <v>154</v>
      </c>
    </row>
    <row r="23" spans="1:4" x14ac:dyDescent="0.2">
      <c r="A23" s="1" t="s">
        <v>113</v>
      </c>
      <c r="B23" s="1" t="s">
        <v>37</v>
      </c>
      <c r="C23" s="1" t="s">
        <v>113</v>
      </c>
      <c r="D23" s="1" t="s">
        <v>154</v>
      </c>
    </row>
    <row r="24" spans="1:4" x14ac:dyDescent="0.2">
      <c r="A24" s="1" t="s">
        <v>113</v>
      </c>
      <c r="B24" s="1" t="s">
        <v>38</v>
      </c>
      <c r="C24" s="1" t="s">
        <v>113</v>
      </c>
      <c r="D24" s="1" t="s">
        <v>154</v>
      </c>
    </row>
    <row r="25" spans="1:4" x14ac:dyDescent="0.2">
      <c r="A25" s="1" t="s">
        <v>113</v>
      </c>
      <c r="B25" s="1" t="s">
        <v>39</v>
      </c>
      <c r="C25" s="1" t="s">
        <v>113</v>
      </c>
      <c r="D25" s="1" t="s">
        <v>154</v>
      </c>
    </row>
    <row r="26" spans="1:4" x14ac:dyDescent="0.2">
      <c r="A26" s="1" t="s">
        <v>113</v>
      </c>
      <c r="B26" s="1" t="s">
        <v>40</v>
      </c>
      <c r="C26" s="1" t="s">
        <v>113</v>
      </c>
      <c r="D26" s="1" t="s">
        <v>154</v>
      </c>
    </row>
    <row r="27" spans="1:4" x14ac:dyDescent="0.2">
      <c r="A27" s="1" t="s">
        <v>113</v>
      </c>
      <c r="B27" s="1" t="s">
        <v>44</v>
      </c>
      <c r="C27" s="1" t="s">
        <v>113</v>
      </c>
      <c r="D27" s="1" t="s">
        <v>108</v>
      </c>
    </row>
    <row r="28" spans="1:4" x14ac:dyDescent="0.2">
      <c r="A28" s="1" t="s">
        <v>113</v>
      </c>
      <c r="B28" s="1" t="s">
        <v>45</v>
      </c>
      <c r="C28" s="1" t="s">
        <v>113</v>
      </c>
      <c r="D28" s="1" t="s">
        <v>172</v>
      </c>
    </row>
    <row r="29" spans="1:4" x14ac:dyDescent="0.2">
      <c r="A29" s="1" t="s">
        <v>113</v>
      </c>
      <c r="B29" s="1" t="s">
        <v>46</v>
      </c>
      <c r="C29" s="1" t="s">
        <v>113</v>
      </c>
      <c r="D29" s="1" t="s">
        <v>150</v>
      </c>
    </row>
    <row r="30" spans="1:4" x14ac:dyDescent="0.2">
      <c r="A30" s="1" t="s">
        <v>113</v>
      </c>
      <c r="B30" s="1" t="s">
        <v>48</v>
      </c>
      <c r="C30" s="1" t="s">
        <v>113</v>
      </c>
      <c r="D30" s="1" t="s">
        <v>150</v>
      </c>
    </row>
    <row r="31" spans="1:4" x14ac:dyDescent="0.2">
      <c r="A31" s="1" t="s">
        <v>113</v>
      </c>
      <c r="B31" s="1" t="s">
        <v>49</v>
      </c>
      <c r="C31" s="1" t="s">
        <v>113</v>
      </c>
      <c r="D31" s="1" t="s">
        <v>155</v>
      </c>
    </row>
    <row r="32" spans="1:4" x14ac:dyDescent="0.2">
      <c r="A32" s="1" t="s">
        <v>113</v>
      </c>
      <c r="B32" s="1" t="s">
        <v>50</v>
      </c>
      <c r="C32" s="1" t="s">
        <v>113</v>
      </c>
      <c r="D32" s="1" t="s">
        <v>155</v>
      </c>
    </row>
    <row r="33" spans="1:4" x14ac:dyDescent="0.2">
      <c r="A33" s="1" t="s">
        <v>113</v>
      </c>
      <c r="B33" s="1" t="s">
        <v>252</v>
      </c>
      <c r="C33" s="1" t="s">
        <v>113</v>
      </c>
      <c r="D33" s="1" t="s">
        <v>152</v>
      </c>
    </row>
    <row r="34" spans="1:4" x14ac:dyDescent="0.2">
      <c r="A34" s="1" t="s">
        <v>113</v>
      </c>
      <c r="B34" s="1" t="s">
        <v>55</v>
      </c>
      <c r="C34" s="1" t="s">
        <v>113</v>
      </c>
      <c r="D34" s="1" t="s">
        <v>152</v>
      </c>
    </row>
    <row r="35" spans="1:4" x14ac:dyDescent="0.2">
      <c r="A35" s="1" t="s">
        <v>113</v>
      </c>
      <c r="B35" s="1" t="s">
        <v>253</v>
      </c>
      <c r="C35" s="1" t="s">
        <v>113</v>
      </c>
      <c r="D35" s="1" t="s">
        <v>152</v>
      </c>
    </row>
    <row r="36" spans="1:4" x14ac:dyDescent="0.2">
      <c r="A36" s="1" t="s">
        <v>113</v>
      </c>
      <c r="B36" s="1" t="s">
        <v>56</v>
      </c>
      <c r="C36" s="1" t="s">
        <v>113</v>
      </c>
      <c r="D36" s="1" t="s">
        <v>152</v>
      </c>
    </row>
    <row r="37" spans="1:4" x14ac:dyDescent="0.2">
      <c r="A37" s="1" t="s">
        <v>113</v>
      </c>
      <c r="B37" s="1" t="s">
        <v>57</v>
      </c>
      <c r="C37" s="1" t="s">
        <v>113</v>
      </c>
      <c r="D37" s="1" t="s">
        <v>106</v>
      </c>
    </row>
    <row r="38" spans="1:4" x14ac:dyDescent="0.2">
      <c r="A38" s="1" t="s">
        <v>123</v>
      </c>
      <c r="B38" s="1" t="s">
        <v>21</v>
      </c>
      <c r="C38" s="1" t="s">
        <v>123</v>
      </c>
      <c r="D38" s="1" t="s">
        <v>101</v>
      </c>
    </row>
    <row r="39" spans="1:4" x14ac:dyDescent="0.2">
      <c r="A39" s="1" t="s">
        <v>123</v>
      </c>
      <c r="B39" s="1" t="s">
        <v>254</v>
      </c>
      <c r="C39" s="1" t="s">
        <v>123</v>
      </c>
      <c r="D39" s="1" t="s">
        <v>179</v>
      </c>
    </row>
    <row r="40" spans="1:4" x14ac:dyDescent="0.2">
      <c r="A40" s="1" t="s">
        <v>123</v>
      </c>
      <c r="B40" s="1" t="s">
        <v>62</v>
      </c>
      <c r="C40" s="1" t="s">
        <v>123</v>
      </c>
      <c r="D40" s="1" t="s">
        <v>114</v>
      </c>
    </row>
    <row r="41" spans="1:4" x14ac:dyDescent="0.2">
      <c r="A41" s="1" t="s">
        <v>123</v>
      </c>
      <c r="B41" s="1" t="s">
        <v>63</v>
      </c>
      <c r="C41" s="1" t="s">
        <v>123</v>
      </c>
      <c r="D41" s="1" t="s">
        <v>180</v>
      </c>
    </row>
    <row r="42" spans="1:4" x14ac:dyDescent="0.2">
      <c r="A42" s="1" t="s">
        <v>123</v>
      </c>
      <c r="B42" s="1" t="s">
        <v>255</v>
      </c>
      <c r="C42" s="1" t="s">
        <v>123</v>
      </c>
      <c r="D42" s="1" t="s">
        <v>115</v>
      </c>
    </row>
    <row r="43" spans="1:4" x14ac:dyDescent="0.2">
      <c r="A43" s="1" t="s">
        <v>123</v>
      </c>
      <c r="B43" s="1" t="s">
        <v>11</v>
      </c>
      <c r="C43" s="1" t="s">
        <v>123</v>
      </c>
      <c r="D43" s="1" t="s">
        <v>115</v>
      </c>
    </row>
    <row r="44" spans="1:4" x14ac:dyDescent="0.2">
      <c r="A44" s="1" t="s">
        <v>123</v>
      </c>
      <c r="B44" s="1" t="s">
        <v>65</v>
      </c>
      <c r="C44" s="1" t="s">
        <v>123</v>
      </c>
      <c r="D44" s="1" t="s">
        <v>115</v>
      </c>
    </row>
    <row r="45" spans="1:4" x14ac:dyDescent="0.2">
      <c r="A45" s="1" t="s">
        <v>123</v>
      </c>
      <c r="B45" s="1" t="s">
        <v>67</v>
      </c>
      <c r="C45" s="1" t="s">
        <v>123</v>
      </c>
      <c r="D45" s="1" t="s">
        <v>116</v>
      </c>
    </row>
    <row r="46" spans="1:4" x14ac:dyDescent="0.2">
      <c r="A46" s="1" t="s">
        <v>123</v>
      </c>
      <c r="B46" s="1" t="s">
        <v>32</v>
      </c>
      <c r="C46" s="1" t="s">
        <v>123</v>
      </c>
      <c r="D46" s="1" t="s">
        <v>117</v>
      </c>
    </row>
    <row r="47" spans="1:4" x14ac:dyDescent="0.2">
      <c r="A47" s="1" t="s">
        <v>123</v>
      </c>
      <c r="B47" s="1" t="s">
        <v>68</v>
      </c>
      <c r="C47" s="1" t="s">
        <v>123</v>
      </c>
      <c r="D47" s="1" t="s">
        <v>181</v>
      </c>
    </row>
    <row r="48" spans="1:4" x14ac:dyDescent="0.2">
      <c r="A48" s="1" t="s">
        <v>123</v>
      </c>
      <c r="B48" s="1" t="s">
        <v>44</v>
      </c>
      <c r="C48" s="1" t="s">
        <v>123</v>
      </c>
      <c r="D48" s="1" t="s">
        <v>118</v>
      </c>
    </row>
    <row r="49" spans="1:4" x14ac:dyDescent="0.2">
      <c r="A49" s="1" t="s">
        <v>123</v>
      </c>
      <c r="B49" s="1" t="s">
        <v>45</v>
      </c>
      <c r="C49" s="1" t="s">
        <v>123</v>
      </c>
      <c r="D49" s="1" t="s">
        <v>182</v>
      </c>
    </row>
    <row r="50" spans="1:4" x14ac:dyDescent="0.2">
      <c r="A50" s="1" t="s">
        <v>123</v>
      </c>
      <c r="B50" s="1" t="s">
        <v>50</v>
      </c>
      <c r="C50" s="1" t="s">
        <v>123</v>
      </c>
      <c r="D50" s="1" t="s">
        <v>183</v>
      </c>
    </row>
    <row r="51" spans="1:4" x14ac:dyDescent="0.2">
      <c r="A51" s="1" t="s">
        <v>123</v>
      </c>
      <c r="B51" s="1" t="s">
        <v>76</v>
      </c>
      <c r="C51" s="1" t="s">
        <v>123</v>
      </c>
      <c r="D51" s="1" t="s">
        <v>166</v>
      </c>
    </row>
    <row r="52" spans="1:4" x14ac:dyDescent="0.2">
      <c r="A52" s="1" t="s">
        <v>123</v>
      </c>
      <c r="B52" s="1" t="s">
        <v>75</v>
      </c>
      <c r="C52" s="1" t="s">
        <v>123</v>
      </c>
      <c r="D52" s="1" t="s">
        <v>184</v>
      </c>
    </row>
    <row r="53" spans="1:4" x14ac:dyDescent="0.2">
      <c r="A53" s="1" t="s">
        <v>123</v>
      </c>
      <c r="B53" s="1" t="s">
        <v>73</v>
      </c>
      <c r="C53" s="1" t="s">
        <v>123</v>
      </c>
      <c r="D53" s="1" t="s">
        <v>185</v>
      </c>
    </row>
    <row r="54" spans="1:4" x14ac:dyDescent="0.2">
      <c r="A54" s="1" t="s">
        <v>123</v>
      </c>
      <c r="B54" s="1" t="s">
        <v>72</v>
      </c>
      <c r="C54" s="1" t="s">
        <v>123</v>
      </c>
      <c r="D54" s="1" t="s">
        <v>185</v>
      </c>
    </row>
    <row r="55" spans="1:4" x14ac:dyDescent="0.2">
      <c r="A55" s="1" t="s">
        <v>123</v>
      </c>
      <c r="B55" s="1" t="s">
        <v>256</v>
      </c>
      <c r="C55" s="1" t="s">
        <v>123</v>
      </c>
      <c r="D55" s="1" t="s">
        <v>110</v>
      </c>
    </row>
    <row r="56" spans="1:4" x14ac:dyDescent="0.2">
      <c r="A56" s="1" t="s">
        <v>123</v>
      </c>
      <c r="B56" s="1" t="s">
        <v>257</v>
      </c>
      <c r="C56" s="1" t="s">
        <v>123</v>
      </c>
      <c r="D56" s="1" t="s">
        <v>110</v>
      </c>
    </row>
    <row r="57" spans="1:4" x14ac:dyDescent="0.2">
      <c r="A57" s="1" t="s">
        <v>123</v>
      </c>
      <c r="B57" s="1" t="s">
        <v>65</v>
      </c>
      <c r="C57" s="1" t="s">
        <v>123</v>
      </c>
      <c r="D57" s="1" t="s">
        <v>110</v>
      </c>
    </row>
    <row r="58" spans="1:4" x14ac:dyDescent="0.2">
      <c r="A58" s="1" t="s">
        <v>123</v>
      </c>
      <c r="B58" s="1" t="s">
        <v>78</v>
      </c>
      <c r="C58" s="1" t="s">
        <v>123</v>
      </c>
      <c r="D58" s="1" t="s">
        <v>186</v>
      </c>
    </row>
    <row r="59" spans="1:4" x14ac:dyDescent="0.2">
      <c r="A59" s="1" t="s">
        <v>123</v>
      </c>
      <c r="B59" s="1" t="s">
        <v>125</v>
      </c>
      <c r="C59" s="1" t="s">
        <v>123</v>
      </c>
      <c r="D59" s="1" t="s">
        <v>187</v>
      </c>
    </row>
    <row r="60" spans="1:4" x14ac:dyDescent="0.2">
      <c r="A60" s="1" t="s">
        <v>123</v>
      </c>
      <c r="B60" s="1" t="s">
        <v>84</v>
      </c>
      <c r="C60" s="1" t="s">
        <v>123</v>
      </c>
      <c r="D60" s="1" t="s">
        <v>188</v>
      </c>
    </row>
    <row r="61" spans="1:4" x14ac:dyDescent="0.2">
      <c r="A61" s="1" t="s">
        <v>123</v>
      </c>
      <c r="B61" s="1" t="s">
        <v>82</v>
      </c>
      <c r="C61" s="1" t="s">
        <v>123</v>
      </c>
      <c r="D61" s="1" t="s">
        <v>189</v>
      </c>
    </row>
    <row r="62" spans="1:4" x14ac:dyDescent="0.2">
      <c r="A62" s="1" t="s">
        <v>123</v>
      </c>
      <c r="B62" s="1" t="s">
        <v>85</v>
      </c>
      <c r="C62" s="1" t="s">
        <v>123</v>
      </c>
      <c r="D62" s="1" t="s">
        <v>111</v>
      </c>
    </row>
    <row r="63" spans="1:4" x14ac:dyDescent="0.2">
      <c r="A63" s="1" t="s">
        <v>123</v>
      </c>
      <c r="B63" s="1" t="s">
        <v>81</v>
      </c>
      <c r="C63" s="1" t="s">
        <v>123</v>
      </c>
      <c r="D63" s="1" t="s">
        <v>190</v>
      </c>
    </row>
    <row r="64" spans="1:4" x14ac:dyDescent="0.2">
      <c r="A64" s="1" t="s">
        <v>123</v>
      </c>
      <c r="B64" s="1" t="s">
        <v>83</v>
      </c>
      <c r="C64" s="1" t="s">
        <v>123</v>
      </c>
      <c r="D64" s="1" t="s">
        <v>191</v>
      </c>
    </row>
    <row r="65" spans="1:4" x14ac:dyDescent="0.2">
      <c r="A65" s="1" t="s">
        <v>123</v>
      </c>
      <c r="B65" s="1" t="s">
        <v>258</v>
      </c>
      <c r="C65" s="1" t="s">
        <v>123</v>
      </c>
      <c r="D65" s="1" t="s">
        <v>192</v>
      </c>
    </row>
    <row r="66" spans="1:4" x14ac:dyDescent="0.2">
      <c r="A66" s="1" t="s">
        <v>123</v>
      </c>
      <c r="B66" s="1" t="s">
        <v>65</v>
      </c>
      <c r="C66" s="1" t="s">
        <v>123</v>
      </c>
      <c r="D66" s="1" t="s">
        <v>192</v>
      </c>
    </row>
  </sheetData>
  <sheetProtection selectLockedCells="1" selectUnlockedCells="1"/>
  <autoFilter ref="A1:D66" xr:uid="{8089DA20-8C37-4D92-A57C-BFE55D20247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A528-EBB2-47C4-BB8A-F573FA538FAE}">
  <sheetPr codeName="Sheet7">
    <tabColor theme="4" tint="0.59999389629810485"/>
  </sheetPr>
  <dimension ref="A1:C60"/>
  <sheetViews>
    <sheetView workbookViewId="0">
      <pane ySplit="1" topLeftCell="A23" activePane="bottomLeft" state="frozen"/>
      <selection activeCell="C27" sqref="C27"/>
      <selection pane="bottomLeft" activeCell="C8" sqref="C8"/>
    </sheetView>
  </sheetViews>
  <sheetFormatPr defaultRowHeight="12.75" x14ac:dyDescent="0.2"/>
  <cols>
    <col min="1" max="1" width="16.28515625" style="1" bestFit="1" customWidth="1"/>
    <col min="2" max="2" width="50" style="1" bestFit="1" customWidth="1"/>
    <col min="3" max="3" width="60" style="1" bestFit="1" customWidth="1"/>
    <col min="4" max="16384" width="9.140625" style="1"/>
  </cols>
  <sheetData>
    <row r="1" spans="1:3" x14ac:dyDescent="0.2">
      <c r="A1" s="1" t="s">
        <v>119</v>
      </c>
      <c r="B1" s="1" t="s">
        <v>147</v>
      </c>
      <c r="C1" s="1" t="s">
        <v>249</v>
      </c>
    </row>
    <row r="2" spans="1:3" x14ac:dyDescent="0.2">
      <c r="A2" s="1" t="s">
        <v>93</v>
      </c>
      <c r="B2" s="1" t="s">
        <v>94</v>
      </c>
      <c r="C2" s="1" t="s">
        <v>193</v>
      </c>
    </row>
    <row r="3" spans="1:3" x14ac:dyDescent="0.2">
      <c r="A3" s="1" t="s">
        <v>93</v>
      </c>
      <c r="B3" s="1" t="s">
        <v>95</v>
      </c>
      <c r="C3" s="1" t="s">
        <v>194</v>
      </c>
    </row>
    <row r="4" spans="1:3" x14ac:dyDescent="0.2">
      <c r="A4" s="1" t="s">
        <v>93</v>
      </c>
      <c r="B4" s="1" t="s">
        <v>96</v>
      </c>
      <c r="C4" s="1" t="s">
        <v>195</v>
      </c>
    </row>
    <row r="5" spans="1:3" x14ac:dyDescent="0.2">
      <c r="A5" s="1" t="s">
        <v>93</v>
      </c>
      <c r="B5" s="1" t="s">
        <v>120</v>
      </c>
      <c r="C5" s="1" t="s">
        <v>196</v>
      </c>
    </row>
    <row r="6" spans="1:3" x14ac:dyDescent="0.2">
      <c r="A6" s="1" t="s">
        <v>93</v>
      </c>
      <c r="B6" s="1" t="s">
        <v>112</v>
      </c>
      <c r="C6" s="1" t="s">
        <v>197</v>
      </c>
    </row>
    <row r="7" spans="1:3" x14ac:dyDescent="0.2">
      <c r="A7" s="1" t="s">
        <v>93</v>
      </c>
      <c r="B7" s="1" t="s">
        <v>121</v>
      </c>
      <c r="C7" s="1" t="s">
        <v>328</v>
      </c>
    </row>
    <row r="8" spans="1:3" x14ac:dyDescent="0.2">
      <c r="A8" s="1" t="s">
        <v>93</v>
      </c>
      <c r="B8" s="1" t="s">
        <v>97</v>
      </c>
      <c r="C8" s="1" t="s">
        <v>122</v>
      </c>
    </row>
    <row r="9" spans="1:3" x14ac:dyDescent="0.2">
      <c r="A9" s="1" t="s">
        <v>93</v>
      </c>
      <c r="B9" s="1" t="s">
        <v>98</v>
      </c>
      <c r="C9" s="1" t="s">
        <v>198</v>
      </c>
    </row>
    <row r="10" spans="1:3" x14ac:dyDescent="0.2">
      <c r="A10" s="1" t="s">
        <v>93</v>
      </c>
      <c r="B10" s="1" t="s">
        <v>178</v>
      </c>
      <c r="C10" s="1" t="s">
        <v>199</v>
      </c>
    </row>
    <row r="11" spans="1:3" x14ac:dyDescent="0.2">
      <c r="A11" s="1" t="s">
        <v>93</v>
      </c>
      <c r="B11" s="1" t="s">
        <v>99</v>
      </c>
      <c r="C11" s="1" t="s">
        <v>200</v>
      </c>
    </row>
    <row r="12" spans="1:3" x14ac:dyDescent="0.2">
      <c r="A12" s="1" t="s">
        <v>93</v>
      </c>
      <c r="B12" s="1" t="s">
        <v>100</v>
      </c>
      <c r="C12" s="1" t="s">
        <v>201</v>
      </c>
    </row>
    <row r="13" spans="1:3" x14ac:dyDescent="0.2">
      <c r="A13" s="1" t="s">
        <v>93</v>
      </c>
      <c r="B13" s="1" t="s">
        <v>101</v>
      </c>
      <c r="C13" s="1" t="s">
        <v>202</v>
      </c>
    </row>
    <row r="14" spans="1:3" x14ac:dyDescent="0.2">
      <c r="A14" s="1" t="s">
        <v>93</v>
      </c>
      <c r="B14" s="1" t="s">
        <v>203</v>
      </c>
      <c r="C14" s="1" t="s">
        <v>204</v>
      </c>
    </row>
    <row r="15" spans="1:3" x14ac:dyDescent="0.2">
      <c r="A15" s="1" t="s">
        <v>93</v>
      </c>
      <c r="B15" s="1" t="s">
        <v>128</v>
      </c>
      <c r="C15" s="1" t="s">
        <v>146</v>
      </c>
    </row>
    <row r="16" spans="1:3" x14ac:dyDescent="0.2">
      <c r="A16" s="1" t="s">
        <v>113</v>
      </c>
      <c r="B16" s="1" t="s">
        <v>148</v>
      </c>
      <c r="C16" s="1" t="s">
        <v>205</v>
      </c>
    </row>
    <row r="17" spans="1:3" x14ac:dyDescent="0.2">
      <c r="A17" s="1" t="s">
        <v>113</v>
      </c>
      <c r="B17" s="1" t="s">
        <v>103</v>
      </c>
      <c r="C17" s="1" t="s">
        <v>206</v>
      </c>
    </row>
    <row r="18" spans="1:3" x14ac:dyDescent="0.2">
      <c r="A18" s="1" t="s">
        <v>113</v>
      </c>
      <c r="B18" s="1" t="s">
        <v>104</v>
      </c>
      <c r="C18" s="1" t="s">
        <v>207</v>
      </c>
    </row>
    <row r="19" spans="1:3" x14ac:dyDescent="0.2">
      <c r="A19" s="1" t="s">
        <v>113</v>
      </c>
      <c r="B19" s="1" t="s">
        <v>149</v>
      </c>
      <c r="C19" s="1" t="s">
        <v>208</v>
      </c>
    </row>
    <row r="20" spans="1:3" x14ac:dyDescent="0.2">
      <c r="A20" s="1" t="s">
        <v>113</v>
      </c>
      <c r="B20" s="1" t="s">
        <v>154</v>
      </c>
      <c r="C20" s="1" t="s">
        <v>209</v>
      </c>
    </row>
    <row r="21" spans="1:3" x14ac:dyDescent="0.2">
      <c r="A21" s="1" t="s">
        <v>113</v>
      </c>
      <c r="B21" s="1" t="s">
        <v>105</v>
      </c>
      <c r="C21" s="1" t="s">
        <v>210</v>
      </c>
    </row>
    <row r="22" spans="1:3" x14ac:dyDescent="0.2">
      <c r="A22" s="1" t="s">
        <v>113</v>
      </c>
      <c r="B22" s="1" t="s">
        <v>108</v>
      </c>
      <c r="C22" s="1" t="s">
        <v>211</v>
      </c>
    </row>
    <row r="23" spans="1:3" x14ac:dyDescent="0.2">
      <c r="A23" s="1" t="s">
        <v>113</v>
      </c>
      <c r="B23" s="1" t="s">
        <v>150</v>
      </c>
      <c r="C23" s="1" t="s">
        <v>212</v>
      </c>
    </row>
    <row r="24" spans="1:3" x14ac:dyDescent="0.2">
      <c r="A24" s="1" t="s">
        <v>113</v>
      </c>
      <c r="B24" s="1" t="s">
        <v>172</v>
      </c>
      <c r="C24" s="1" t="s">
        <v>213</v>
      </c>
    </row>
    <row r="25" spans="1:3" x14ac:dyDescent="0.2">
      <c r="A25" s="1" t="s">
        <v>113</v>
      </c>
      <c r="B25" s="1" t="s">
        <v>155</v>
      </c>
      <c r="C25" s="1" t="s">
        <v>214</v>
      </c>
    </row>
    <row r="26" spans="1:3" x14ac:dyDescent="0.2">
      <c r="A26" s="1" t="s">
        <v>113</v>
      </c>
      <c r="B26" s="1" t="s">
        <v>129</v>
      </c>
      <c r="C26" s="1" t="s">
        <v>215</v>
      </c>
    </row>
    <row r="27" spans="1:3" x14ac:dyDescent="0.2">
      <c r="A27" s="1" t="s">
        <v>113</v>
      </c>
      <c r="B27" s="1" t="s">
        <v>152</v>
      </c>
      <c r="C27" s="1" t="s">
        <v>216</v>
      </c>
    </row>
    <row r="28" spans="1:3" x14ac:dyDescent="0.2">
      <c r="A28" s="1" t="s">
        <v>113</v>
      </c>
      <c r="B28" s="1" t="s">
        <v>106</v>
      </c>
      <c r="C28" s="1" t="s">
        <v>217</v>
      </c>
    </row>
    <row r="29" spans="1:3" x14ac:dyDescent="0.2">
      <c r="A29" s="1" t="s">
        <v>113</v>
      </c>
      <c r="B29" s="1" t="s">
        <v>151</v>
      </c>
      <c r="C29" s="1" t="s">
        <v>218</v>
      </c>
    </row>
    <row r="30" spans="1:3" x14ac:dyDescent="0.2">
      <c r="A30" s="1" t="s">
        <v>113</v>
      </c>
      <c r="B30" s="1" t="s">
        <v>153</v>
      </c>
      <c r="C30" s="1" t="s">
        <v>219</v>
      </c>
    </row>
    <row r="31" spans="1:3" x14ac:dyDescent="0.2">
      <c r="A31" s="1" t="s">
        <v>113</v>
      </c>
      <c r="B31" s="1" t="s">
        <v>130</v>
      </c>
      <c r="C31" s="1" t="s">
        <v>220</v>
      </c>
    </row>
    <row r="32" spans="1:3" x14ac:dyDescent="0.2">
      <c r="A32" s="1" t="s">
        <v>123</v>
      </c>
      <c r="B32" s="1" t="s">
        <v>101</v>
      </c>
      <c r="C32" s="1" t="s">
        <v>221</v>
      </c>
    </row>
    <row r="33" spans="1:3" x14ac:dyDescent="0.2">
      <c r="A33" s="1" t="s">
        <v>123</v>
      </c>
      <c r="B33" s="1" t="s">
        <v>114</v>
      </c>
      <c r="C33" s="1" t="s">
        <v>222</v>
      </c>
    </row>
    <row r="34" spans="1:3" x14ac:dyDescent="0.2">
      <c r="A34" s="1" t="s">
        <v>123</v>
      </c>
      <c r="B34" s="1" t="s">
        <v>179</v>
      </c>
      <c r="C34" s="1" t="s">
        <v>223</v>
      </c>
    </row>
    <row r="35" spans="1:3" x14ac:dyDescent="0.2">
      <c r="A35" s="1" t="s">
        <v>123</v>
      </c>
      <c r="B35" s="1" t="s">
        <v>180</v>
      </c>
      <c r="C35" s="1" t="s">
        <v>224</v>
      </c>
    </row>
    <row r="36" spans="1:3" x14ac:dyDescent="0.2">
      <c r="A36" s="1" t="s">
        <v>123</v>
      </c>
      <c r="B36" s="1" t="s">
        <v>115</v>
      </c>
      <c r="C36" s="1" t="s">
        <v>327</v>
      </c>
    </row>
    <row r="37" spans="1:3" x14ac:dyDescent="0.2">
      <c r="A37" s="1" t="s">
        <v>123</v>
      </c>
      <c r="B37" s="1" t="s">
        <v>116</v>
      </c>
      <c r="C37" s="1" t="s">
        <v>225</v>
      </c>
    </row>
    <row r="38" spans="1:3" x14ac:dyDescent="0.2">
      <c r="A38" s="1" t="s">
        <v>123</v>
      </c>
      <c r="B38" s="1" t="s">
        <v>117</v>
      </c>
      <c r="C38" s="1" t="s">
        <v>226</v>
      </c>
    </row>
    <row r="39" spans="1:3" x14ac:dyDescent="0.2">
      <c r="A39" s="1" t="s">
        <v>123</v>
      </c>
      <c r="B39" s="1" t="s">
        <v>181</v>
      </c>
      <c r="C39" s="1" t="s">
        <v>227</v>
      </c>
    </row>
    <row r="40" spans="1:3" x14ac:dyDescent="0.2">
      <c r="A40" s="1" t="s">
        <v>123</v>
      </c>
      <c r="B40" s="1" t="s">
        <v>118</v>
      </c>
      <c r="C40" s="1" t="s">
        <v>228</v>
      </c>
    </row>
    <row r="41" spans="1:3" x14ac:dyDescent="0.2">
      <c r="A41" s="1" t="s">
        <v>123</v>
      </c>
      <c r="B41" s="1" t="s">
        <v>182</v>
      </c>
      <c r="C41" s="1" t="s">
        <v>229</v>
      </c>
    </row>
    <row r="42" spans="1:3" x14ac:dyDescent="0.2">
      <c r="A42" s="1" t="s">
        <v>123</v>
      </c>
      <c r="B42" s="1" t="s">
        <v>183</v>
      </c>
      <c r="C42" s="1" t="s">
        <v>230</v>
      </c>
    </row>
    <row r="43" spans="1:3" x14ac:dyDescent="0.2">
      <c r="A43" s="1" t="s">
        <v>123</v>
      </c>
      <c r="B43" s="1" t="s">
        <v>157</v>
      </c>
      <c r="C43" s="1" t="s">
        <v>231</v>
      </c>
    </row>
    <row r="44" spans="1:3" x14ac:dyDescent="0.2">
      <c r="A44" s="1" t="s">
        <v>123</v>
      </c>
      <c r="B44" s="1" t="s">
        <v>166</v>
      </c>
      <c r="C44" s="1" t="s">
        <v>232</v>
      </c>
    </row>
    <row r="45" spans="1:3" x14ac:dyDescent="0.2">
      <c r="A45" s="1" t="s">
        <v>123</v>
      </c>
      <c r="B45" s="1" t="s">
        <v>184</v>
      </c>
      <c r="C45" s="1" t="s">
        <v>233</v>
      </c>
    </row>
    <row r="46" spans="1:3" x14ac:dyDescent="0.2">
      <c r="A46" s="1" t="s">
        <v>123</v>
      </c>
      <c r="B46" s="1" t="s">
        <v>185</v>
      </c>
      <c r="C46" s="1" t="s">
        <v>233</v>
      </c>
    </row>
    <row r="47" spans="1:3" x14ac:dyDescent="0.2">
      <c r="A47" s="1" t="s">
        <v>123</v>
      </c>
      <c r="B47" s="1" t="s">
        <v>186</v>
      </c>
      <c r="C47" s="1" t="s">
        <v>234</v>
      </c>
    </row>
    <row r="48" spans="1:3" x14ac:dyDescent="0.2">
      <c r="A48" s="1" t="s">
        <v>123</v>
      </c>
      <c r="B48" s="1" t="s">
        <v>110</v>
      </c>
      <c r="C48" s="1" t="s">
        <v>235</v>
      </c>
    </row>
    <row r="49" spans="1:3" x14ac:dyDescent="0.2">
      <c r="A49" s="1" t="s">
        <v>123</v>
      </c>
      <c r="B49" s="1" t="s">
        <v>159</v>
      </c>
      <c r="C49" s="1" t="s">
        <v>236</v>
      </c>
    </row>
    <row r="50" spans="1:3" x14ac:dyDescent="0.2">
      <c r="A50" s="1" t="s">
        <v>123</v>
      </c>
      <c r="B50" s="1" t="s">
        <v>237</v>
      </c>
      <c r="C50" s="1" t="s">
        <v>238</v>
      </c>
    </row>
    <row r="51" spans="1:3" x14ac:dyDescent="0.2">
      <c r="A51" s="1" t="s">
        <v>123</v>
      </c>
      <c r="B51" s="1" t="s">
        <v>188</v>
      </c>
      <c r="C51" s="1" t="s">
        <v>239</v>
      </c>
    </row>
    <row r="52" spans="1:3" x14ac:dyDescent="0.2">
      <c r="A52" s="1" t="s">
        <v>123</v>
      </c>
      <c r="B52" s="1" t="s">
        <v>189</v>
      </c>
      <c r="C52" s="1" t="s">
        <v>240</v>
      </c>
    </row>
    <row r="53" spans="1:3" x14ac:dyDescent="0.2">
      <c r="A53" s="1" t="s">
        <v>123</v>
      </c>
      <c r="B53" s="1" t="s">
        <v>111</v>
      </c>
      <c r="C53" s="1" t="s">
        <v>241</v>
      </c>
    </row>
    <row r="54" spans="1:3" x14ac:dyDescent="0.2">
      <c r="A54" s="1" t="s">
        <v>123</v>
      </c>
      <c r="B54" s="1" t="s">
        <v>190</v>
      </c>
      <c r="C54" s="1" t="s">
        <v>242</v>
      </c>
    </row>
    <row r="55" spans="1:3" x14ac:dyDescent="0.2">
      <c r="A55" s="1" t="s">
        <v>123</v>
      </c>
      <c r="B55" s="1" t="s">
        <v>191</v>
      </c>
      <c r="C55" s="1" t="s">
        <v>243</v>
      </c>
    </row>
    <row r="56" spans="1:3" x14ac:dyDescent="0.2">
      <c r="A56" s="1" t="s">
        <v>123</v>
      </c>
      <c r="B56" s="1" t="s">
        <v>192</v>
      </c>
      <c r="C56" s="1" t="s">
        <v>235</v>
      </c>
    </row>
    <row r="57" spans="1:3" x14ac:dyDescent="0.2">
      <c r="A57" s="1" t="s">
        <v>123</v>
      </c>
      <c r="B57" s="1" t="s">
        <v>161</v>
      </c>
      <c r="C57" s="1" t="s">
        <v>244</v>
      </c>
    </row>
    <row r="58" spans="1:3" x14ac:dyDescent="0.2">
      <c r="A58" s="1" t="s">
        <v>123</v>
      </c>
      <c r="B58" s="1" t="s">
        <v>245</v>
      </c>
      <c r="C58" s="1" t="s">
        <v>246</v>
      </c>
    </row>
    <row r="59" spans="1:3" x14ac:dyDescent="0.2">
      <c r="A59" s="1" t="s">
        <v>123</v>
      </c>
      <c r="B59" s="1" t="s">
        <v>163</v>
      </c>
      <c r="C59" s="1" t="s">
        <v>247</v>
      </c>
    </row>
    <row r="60" spans="1:3" x14ac:dyDescent="0.2">
      <c r="A60" s="1" t="s">
        <v>123</v>
      </c>
      <c r="B60" s="1" t="s">
        <v>164</v>
      </c>
      <c r="C60" s="1" t="s">
        <v>248</v>
      </c>
    </row>
  </sheetData>
  <autoFilter ref="A1:C60" xr:uid="{6BA9A528-EBB2-47C4-BB8A-F573FA538FA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3E0C-8225-461C-B3EC-E62026F4B1FE}">
  <sheetPr codeName="Sheet8">
    <tabColor theme="4" tint="0.59999389629810485"/>
  </sheetPr>
  <dimension ref="A1:B20"/>
  <sheetViews>
    <sheetView workbookViewId="0">
      <pane ySplit="1" topLeftCell="A2" activePane="bottomLeft" state="frozen"/>
      <selection activeCell="C27" sqref="C27"/>
      <selection pane="bottomLeft" activeCell="C27" sqref="C27"/>
    </sheetView>
  </sheetViews>
  <sheetFormatPr defaultRowHeight="12.75" x14ac:dyDescent="0.2"/>
  <cols>
    <col min="1" max="1" width="37.42578125" style="1" bestFit="1" customWidth="1"/>
    <col min="2" max="2" width="115" style="1" bestFit="1" customWidth="1"/>
    <col min="3" max="16384" width="9.140625" style="1"/>
  </cols>
  <sheetData>
    <row r="1" spans="1:2" x14ac:dyDescent="0.2">
      <c r="A1" s="1" t="s">
        <v>263</v>
      </c>
      <c r="B1" s="1" t="s">
        <v>276</v>
      </c>
    </row>
    <row r="2" spans="1:2" x14ac:dyDescent="0.2">
      <c r="A2" s="1" t="s">
        <v>137</v>
      </c>
      <c r="B2" s="1" t="s">
        <v>277</v>
      </c>
    </row>
    <row r="3" spans="1:2" x14ac:dyDescent="0.2">
      <c r="A3" s="1" t="s">
        <v>167</v>
      </c>
      <c r="B3" s="1" t="s">
        <v>278</v>
      </c>
    </row>
    <row r="4" spans="1:2" x14ac:dyDescent="0.2">
      <c r="A4" s="1" t="s">
        <v>143</v>
      </c>
      <c r="B4" s="1" t="s">
        <v>268</v>
      </c>
    </row>
    <row r="5" spans="1:2" x14ac:dyDescent="0.2">
      <c r="A5" s="1" t="s">
        <v>144</v>
      </c>
      <c r="B5" s="1" t="s">
        <v>269</v>
      </c>
    </row>
    <row r="6" spans="1:2" x14ac:dyDescent="0.2">
      <c r="A6" s="1" t="s">
        <v>264</v>
      </c>
      <c r="B6" s="1" t="s">
        <v>279</v>
      </c>
    </row>
    <row r="7" spans="1:2" x14ac:dyDescent="0.2">
      <c r="A7" s="1" t="s">
        <v>138</v>
      </c>
      <c r="B7" s="1" t="s">
        <v>270</v>
      </c>
    </row>
    <row r="8" spans="1:2" x14ac:dyDescent="0.2">
      <c r="A8" s="1" t="s">
        <v>139</v>
      </c>
      <c r="B8" s="1" t="s">
        <v>280</v>
      </c>
    </row>
    <row r="9" spans="1:2" x14ac:dyDescent="0.2">
      <c r="A9" s="1" t="s">
        <v>140</v>
      </c>
      <c r="B9" s="1" t="s">
        <v>281</v>
      </c>
    </row>
    <row r="10" spans="1:2" x14ac:dyDescent="0.2">
      <c r="A10" s="1" t="s">
        <v>174</v>
      </c>
      <c r="B10" s="1" t="s">
        <v>271</v>
      </c>
    </row>
    <row r="11" spans="1:2" x14ac:dyDescent="0.2">
      <c r="A11" s="1" t="s">
        <v>175</v>
      </c>
      <c r="B11" s="1" t="s">
        <v>272</v>
      </c>
    </row>
    <row r="12" spans="1:2" x14ac:dyDescent="0.2">
      <c r="A12" s="1" t="s">
        <v>265</v>
      </c>
      <c r="B12" s="1" t="s">
        <v>273</v>
      </c>
    </row>
    <row r="13" spans="1:2" x14ac:dyDescent="0.2">
      <c r="A13" s="1" t="s">
        <v>168</v>
      </c>
      <c r="B13" s="1" t="s">
        <v>282</v>
      </c>
    </row>
    <row r="14" spans="1:2" x14ac:dyDescent="0.2">
      <c r="A14" s="1" t="s">
        <v>169</v>
      </c>
      <c r="B14" s="1" t="s">
        <v>283</v>
      </c>
    </row>
    <row r="15" spans="1:2" x14ac:dyDescent="0.2">
      <c r="A15" s="1" t="s">
        <v>170</v>
      </c>
      <c r="B15" s="1" t="s">
        <v>284</v>
      </c>
    </row>
    <row r="16" spans="1:2" x14ac:dyDescent="0.2">
      <c r="A16" s="1" t="s">
        <v>171</v>
      </c>
      <c r="B16" s="1" t="s">
        <v>285</v>
      </c>
    </row>
    <row r="17" spans="1:2" x14ac:dyDescent="0.2">
      <c r="A17" s="1" t="s">
        <v>266</v>
      </c>
      <c r="B17" s="1" t="s">
        <v>286</v>
      </c>
    </row>
    <row r="18" spans="1:2" x14ac:dyDescent="0.2">
      <c r="A18" s="1" t="s">
        <v>287</v>
      </c>
      <c r="B18" s="1" t="s">
        <v>288</v>
      </c>
    </row>
    <row r="19" spans="1:2" x14ac:dyDescent="0.2">
      <c r="A19" s="1" t="s">
        <v>267</v>
      </c>
      <c r="B19" s="1" t="s">
        <v>274</v>
      </c>
    </row>
    <row r="20" spans="1:2" x14ac:dyDescent="0.2">
      <c r="A20" s="1" t="s">
        <v>141</v>
      </c>
      <c r="B20" s="1" t="s">
        <v>289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Raw P&amp;L</vt:lpstr>
      <vt:lpstr>Raw Balance Sheet</vt:lpstr>
      <vt:lpstr>Raw Cash Flow</vt:lpstr>
      <vt:lpstr>Financial Model &amp; Forecast</vt:lpstr>
      <vt:lpstr>Historical Statements Mapping</vt:lpstr>
      <vt:lpstr>Forecast Statement Formulas</vt:lpstr>
      <vt:lpstr>Assumptions Formulas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berk-guenay.tansuker@basf.com</dc:creator>
  <cp:lastModifiedBy>berk-guenay.tansuker@basf.com</cp:lastModifiedBy>
  <dcterms:created xsi:type="dcterms:W3CDTF">2026-04-10T11:34:31Z</dcterms:created>
  <dcterms:modified xsi:type="dcterms:W3CDTF">2026-04-22T22:16:28Z</dcterms:modified>
</cp:coreProperties>
</file>