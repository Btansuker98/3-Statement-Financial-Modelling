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illfin Learning\Desktop\BK\Skillfin Learning\Skillfin Learning\The Valuation Analyst Skills Training (VAST) course\Corrected Excel File\"/>
    </mc:Choice>
  </mc:AlternateContent>
  <xr:revisionPtr revIDLastSave="0" documentId="13_ncr:1_{371BE332-560C-421D-99DE-681B1AC74281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SKILLFIN LEARNING" sheetId="7" r:id="rId1"/>
    <sheet name="Historical IS and BS" sheetId="1" r:id="rId2"/>
    <sheet name="Key ratios" sheetId="9" r:id="rId3"/>
    <sheet name="Forecasted IS and BS" sheetId="8" r:id="rId4"/>
    <sheet name="Forecasted CF statement" sheetId="10" r:id="rId5"/>
    <sheet name="Valuation" sheetId="11" r:id="rId6"/>
    <sheet name="Sensitivity" sheetId="12" r:id="rId7"/>
  </sheets>
  <definedNames>
    <definedName name="CIQWBGuid" hidden="1">"4f870cf5-2e36-4802-a05b-57f6ed2e1bc1"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"zwj561"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42191.2527314815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81029"/>
  <fileRecoveryPr autoRecover="0"/>
</workbook>
</file>

<file path=xl/calcChain.xml><?xml version="1.0" encoding="utf-8"?>
<calcChain xmlns="http://schemas.openxmlformats.org/spreadsheetml/2006/main">
  <c r="K25" i="9" l="1"/>
  <c r="J25" i="9"/>
  <c r="M39" i="12"/>
  <c r="H31" i="12"/>
  <c r="L59" i="12" l="1"/>
  <c r="M59" i="12" s="1"/>
  <c r="H49" i="12"/>
  <c r="H48" i="12"/>
  <c r="H47" i="12"/>
  <c r="J23" i="12"/>
  <c r="J33" i="12" s="1"/>
  <c r="J38" i="12" s="1"/>
  <c r="M16" i="12"/>
  <c r="M23" i="12" s="1"/>
  <c r="M33" i="12" s="1"/>
  <c r="M38" i="12" s="1"/>
  <c r="L16" i="12"/>
  <c r="L23" i="12" s="1"/>
  <c r="L33" i="12" s="1"/>
  <c r="L38" i="12" s="1"/>
  <c r="K16" i="12"/>
  <c r="K23" i="12" s="1"/>
  <c r="K33" i="12" s="1"/>
  <c r="K38" i="12" s="1"/>
  <c r="J16" i="12"/>
  <c r="I16" i="12"/>
  <c r="I23" i="12" s="1"/>
  <c r="I33" i="12" s="1"/>
  <c r="I38" i="12" s="1"/>
  <c r="H16" i="12"/>
  <c r="H23" i="12" s="1"/>
  <c r="H33" i="12" s="1"/>
  <c r="H38" i="12" s="1"/>
  <c r="I35" i="12" l="1"/>
  <c r="L35" i="12"/>
  <c r="M35" i="12"/>
  <c r="H63" i="12"/>
  <c r="H64" i="12" s="1"/>
  <c r="K35" i="12"/>
  <c r="H61" i="12"/>
  <c r="H60" i="12" s="1"/>
  <c r="J59" i="12"/>
  <c r="I59" i="12" s="1"/>
  <c r="K20" i="12"/>
  <c r="L20" i="12"/>
  <c r="I20" i="12"/>
  <c r="I21" i="12" s="1"/>
  <c r="M20" i="12"/>
  <c r="M21" i="12" s="1"/>
  <c r="L21" i="12"/>
  <c r="J20" i="12"/>
  <c r="J21" i="12" s="1"/>
  <c r="K21" i="12"/>
  <c r="J35" i="12"/>
  <c r="M39" i="11" l="1"/>
  <c r="H49" i="11" l="1"/>
  <c r="H48" i="11"/>
  <c r="H47" i="11"/>
  <c r="H31" i="11"/>
  <c r="J35" i="11" s="1"/>
  <c r="M20" i="11"/>
  <c r="M21" i="11" s="1"/>
  <c r="L20" i="11"/>
  <c r="K20" i="11"/>
  <c r="L35" i="11" l="1"/>
  <c r="I35" i="11"/>
  <c r="K35" i="11"/>
  <c r="M35" i="11"/>
  <c r="I20" i="11"/>
  <c r="I21" i="11" s="1"/>
  <c r="K21" i="11"/>
  <c r="J20" i="11"/>
  <c r="J21" i="11" s="1"/>
  <c r="L21" i="11"/>
  <c r="M16" i="11" l="1"/>
  <c r="M23" i="11" s="1"/>
  <c r="M33" i="11" s="1"/>
  <c r="M38" i="11" s="1"/>
  <c r="L16" i="11"/>
  <c r="L23" i="11" s="1"/>
  <c r="L33" i="11" s="1"/>
  <c r="L38" i="11" s="1"/>
  <c r="K16" i="11"/>
  <c r="K23" i="11" s="1"/>
  <c r="K33" i="11" s="1"/>
  <c r="K38" i="11" s="1"/>
  <c r="J16" i="11"/>
  <c r="J23" i="11" s="1"/>
  <c r="J33" i="11" s="1"/>
  <c r="J38" i="11" s="1"/>
  <c r="I16" i="11"/>
  <c r="I23" i="11" s="1"/>
  <c r="I33" i="11" s="1"/>
  <c r="I38" i="11" s="1"/>
  <c r="H16" i="11"/>
  <c r="H23" i="11" s="1"/>
  <c r="H33" i="11" s="1"/>
  <c r="H38" i="11" s="1"/>
  <c r="I30" i="10" l="1"/>
  <c r="M24" i="10" l="1"/>
  <c r="L24" i="10"/>
  <c r="K24" i="10"/>
  <c r="J24" i="10"/>
  <c r="M22" i="10"/>
  <c r="L22" i="10"/>
  <c r="K22" i="10"/>
  <c r="J22" i="10"/>
  <c r="I22" i="10"/>
  <c r="M21" i="10"/>
  <c r="L21" i="10"/>
  <c r="K21" i="10"/>
  <c r="J21" i="10"/>
  <c r="I21" i="10"/>
  <c r="I41" i="8" l="1"/>
  <c r="J41" i="8" s="1"/>
  <c r="K41" i="8" s="1"/>
  <c r="L41" i="8" s="1"/>
  <c r="M41" i="8" s="1"/>
  <c r="I31" i="8"/>
  <c r="J31" i="8" s="1"/>
  <c r="K31" i="8" s="1"/>
  <c r="L31" i="8" s="1"/>
  <c r="M31" i="8" s="1"/>
  <c r="I30" i="8"/>
  <c r="I18" i="10" s="1"/>
  <c r="J30" i="8" l="1"/>
  <c r="I25" i="8"/>
  <c r="I14" i="10" s="1"/>
  <c r="J25" i="8" l="1"/>
  <c r="K30" i="8"/>
  <c r="J18" i="10"/>
  <c r="L30" i="8" l="1"/>
  <c r="K18" i="10"/>
  <c r="K25" i="8"/>
  <c r="J14" i="10"/>
  <c r="M28" i="9"/>
  <c r="M27" i="10" s="1"/>
  <c r="L28" i="9"/>
  <c r="L27" i="10" s="1"/>
  <c r="K28" i="9"/>
  <c r="K27" i="10" s="1"/>
  <c r="J28" i="9"/>
  <c r="J27" i="10" s="1"/>
  <c r="I28" i="9"/>
  <c r="I27" i="10" s="1"/>
  <c r="I27" i="9"/>
  <c r="I26" i="10" s="1"/>
  <c r="M25" i="9"/>
  <c r="M25" i="10" s="1"/>
  <c r="L25" i="9"/>
  <c r="L25" i="10" s="1"/>
  <c r="K25" i="10"/>
  <c r="J25" i="10"/>
  <c r="I25" i="9"/>
  <c r="I25" i="10" s="1"/>
  <c r="I22" i="9"/>
  <c r="I24" i="10" s="1"/>
  <c r="L25" i="8" l="1"/>
  <c r="K14" i="10"/>
  <c r="J27" i="9"/>
  <c r="M30" i="8"/>
  <c r="M18" i="10" s="1"/>
  <c r="L18" i="10"/>
  <c r="J26" i="10" l="1"/>
  <c r="K27" i="9"/>
  <c r="M25" i="8"/>
  <c r="M14" i="10" s="1"/>
  <c r="L14" i="10"/>
  <c r="L27" i="9" l="1"/>
  <c r="K26" i="10"/>
  <c r="M27" i="9" l="1"/>
  <c r="M26" i="10" s="1"/>
  <c r="L26" i="10"/>
  <c r="H16" i="9"/>
  <c r="I16" i="9" s="1"/>
  <c r="G16" i="9"/>
  <c r="F16" i="9"/>
  <c r="H15" i="9"/>
  <c r="I15" i="9" s="1"/>
  <c r="G15" i="9"/>
  <c r="F8" i="9"/>
  <c r="E8" i="9"/>
  <c r="H6" i="9"/>
  <c r="I6" i="9" s="1"/>
  <c r="G6" i="9"/>
  <c r="F6" i="9"/>
  <c r="J15" i="9" l="1"/>
  <c r="I6" i="8"/>
  <c r="J6" i="9"/>
  <c r="K6" i="9" s="1"/>
  <c r="L6" i="9" s="1"/>
  <c r="M6" i="9" s="1"/>
  <c r="J16" i="9"/>
  <c r="J5" i="10"/>
  <c r="K5" i="10"/>
  <c r="L5" i="10"/>
  <c r="M5" i="10"/>
  <c r="I5" i="10"/>
  <c r="I7" i="12" l="1"/>
  <c r="I7" i="11"/>
  <c r="J6" i="8"/>
  <c r="I24" i="8"/>
  <c r="I12" i="10" s="1"/>
  <c r="K15" i="9"/>
  <c r="K16" i="9"/>
  <c r="J24" i="8"/>
  <c r="J12" i="10" s="1"/>
  <c r="I23" i="8"/>
  <c r="I13" i="10" s="1"/>
  <c r="D44" i="8"/>
  <c r="D45" i="8" s="1"/>
  <c r="G41" i="8"/>
  <c r="F41" i="8"/>
  <c r="E41" i="8"/>
  <c r="D41" i="8"/>
  <c r="C41" i="8"/>
  <c r="H40" i="8"/>
  <c r="G40" i="8"/>
  <c r="G45" i="8" s="1"/>
  <c r="G46" i="8" s="1"/>
  <c r="F40" i="8"/>
  <c r="E40" i="8"/>
  <c r="E45" i="8" s="1"/>
  <c r="D40" i="8"/>
  <c r="C40" i="8"/>
  <c r="C45" i="8" s="1"/>
  <c r="C46" i="8" s="1"/>
  <c r="H38" i="8"/>
  <c r="D38" i="8"/>
  <c r="H37" i="8"/>
  <c r="I37" i="8" s="1"/>
  <c r="G37" i="8"/>
  <c r="F37" i="8"/>
  <c r="E37" i="8"/>
  <c r="D37" i="8"/>
  <c r="C37" i="8"/>
  <c r="E36" i="8"/>
  <c r="E38" i="8" s="1"/>
  <c r="D36" i="8"/>
  <c r="C36" i="8"/>
  <c r="H35" i="8"/>
  <c r="G35" i="8"/>
  <c r="G38" i="8" s="1"/>
  <c r="F35" i="8"/>
  <c r="F38" i="8" s="1"/>
  <c r="E35" i="8"/>
  <c r="D35" i="8"/>
  <c r="C35" i="8"/>
  <c r="C38" i="8" s="1"/>
  <c r="J34" i="8"/>
  <c r="F34" i="8"/>
  <c r="G31" i="8"/>
  <c r="F31" i="8"/>
  <c r="E31" i="8"/>
  <c r="D31" i="8"/>
  <c r="C31" i="8"/>
  <c r="G30" i="8"/>
  <c r="F30" i="8"/>
  <c r="E30" i="8"/>
  <c r="D30" i="8"/>
  <c r="C30" i="8"/>
  <c r="H29" i="8"/>
  <c r="H32" i="8" s="1"/>
  <c r="G29" i="8"/>
  <c r="F29" i="8"/>
  <c r="E29" i="8"/>
  <c r="D29" i="8"/>
  <c r="C29" i="8"/>
  <c r="H27" i="8"/>
  <c r="G27" i="8"/>
  <c r="G32" i="8" s="1"/>
  <c r="F27" i="8"/>
  <c r="F32" i="8" s="1"/>
  <c r="C27" i="8"/>
  <c r="C32" i="8" s="1"/>
  <c r="E24" i="8"/>
  <c r="D24" i="8"/>
  <c r="C24" i="8"/>
  <c r="F23" i="8"/>
  <c r="E23" i="8"/>
  <c r="D23" i="8"/>
  <c r="C23" i="8"/>
  <c r="E22" i="8"/>
  <c r="E27" i="8" s="1"/>
  <c r="E32" i="8" s="1"/>
  <c r="D22" i="8"/>
  <c r="D27" i="8" s="1"/>
  <c r="D32" i="8" s="1"/>
  <c r="C22" i="8"/>
  <c r="M21" i="8"/>
  <c r="M34" i="8" s="1"/>
  <c r="L21" i="8"/>
  <c r="L34" i="8" s="1"/>
  <c r="K21" i="8"/>
  <c r="K34" i="8" s="1"/>
  <c r="J21" i="8"/>
  <c r="I21" i="8"/>
  <c r="I34" i="8" s="1"/>
  <c r="H21" i="8"/>
  <c r="H34" i="8" s="1"/>
  <c r="G21" i="8"/>
  <c r="G34" i="8" s="1"/>
  <c r="F21" i="8"/>
  <c r="E21" i="8"/>
  <c r="E34" i="8" s="1"/>
  <c r="D21" i="8"/>
  <c r="D34" i="8" s="1"/>
  <c r="C21" i="8"/>
  <c r="C34" i="8" s="1"/>
  <c r="G14" i="8"/>
  <c r="D14" i="8"/>
  <c r="C14" i="8"/>
  <c r="H12" i="8"/>
  <c r="G12" i="8"/>
  <c r="D12" i="8"/>
  <c r="C12" i="8"/>
  <c r="D10" i="8"/>
  <c r="C10" i="8"/>
  <c r="H9" i="8"/>
  <c r="G9" i="8"/>
  <c r="D9" i="8"/>
  <c r="C9" i="8"/>
  <c r="H8" i="8"/>
  <c r="H11" i="8" s="1"/>
  <c r="H13" i="8" s="1"/>
  <c r="H15" i="8" s="1"/>
  <c r="H17" i="8" s="1"/>
  <c r="H19" i="8" s="1"/>
  <c r="E8" i="8"/>
  <c r="E11" i="8" s="1"/>
  <c r="E13" i="8" s="1"/>
  <c r="E15" i="8" s="1"/>
  <c r="E17" i="8" s="1"/>
  <c r="E19" i="8" s="1"/>
  <c r="H7" i="8"/>
  <c r="G7" i="8"/>
  <c r="G8" i="8" s="1"/>
  <c r="G11" i="8" s="1"/>
  <c r="G13" i="8" s="1"/>
  <c r="G15" i="8" s="1"/>
  <c r="G17" i="8" s="1"/>
  <c r="G19" i="8" s="1"/>
  <c r="F7" i="8"/>
  <c r="F8" i="8" s="1"/>
  <c r="F11" i="8" s="1"/>
  <c r="F13" i="8" s="1"/>
  <c r="F15" i="8" s="1"/>
  <c r="F17" i="8" s="1"/>
  <c r="F19" i="8" s="1"/>
  <c r="E7" i="8"/>
  <c r="D7" i="8"/>
  <c r="C7" i="8"/>
  <c r="D6" i="8"/>
  <c r="D8" i="8" s="1"/>
  <c r="D11" i="8" s="1"/>
  <c r="D13" i="8" s="1"/>
  <c r="D15" i="8" s="1"/>
  <c r="D17" i="8" s="1"/>
  <c r="D19" i="8" s="1"/>
  <c r="C6" i="8"/>
  <c r="C8" i="8" s="1"/>
  <c r="C11" i="8" s="1"/>
  <c r="C13" i="8" s="1"/>
  <c r="C15" i="8" s="1"/>
  <c r="C17" i="8" s="1"/>
  <c r="C19" i="8" s="1"/>
  <c r="M14" i="9"/>
  <c r="M20" i="9" s="1"/>
  <c r="L14" i="9"/>
  <c r="L20" i="9" s="1"/>
  <c r="K14" i="9"/>
  <c r="K20" i="9" s="1"/>
  <c r="J14" i="9"/>
  <c r="J20" i="9" s="1"/>
  <c r="I14" i="9"/>
  <c r="I20" i="9" s="1"/>
  <c r="H14" i="9"/>
  <c r="H20" i="9" s="1"/>
  <c r="G14" i="9"/>
  <c r="G20" i="9" s="1"/>
  <c r="F14" i="9"/>
  <c r="F20" i="9" s="1"/>
  <c r="E14" i="9"/>
  <c r="E20" i="9" s="1"/>
  <c r="D14" i="9"/>
  <c r="D20" i="9" s="1"/>
  <c r="D44" i="1"/>
  <c r="D45" i="1" s="1"/>
  <c r="G41" i="1"/>
  <c r="F41" i="1"/>
  <c r="E41" i="1"/>
  <c r="D41" i="1"/>
  <c r="C41" i="1"/>
  <c r="H40" i="1"/>
  <c r="H45" i="1" s="1"/>
  <c r="G40" i="1"/>
  <c r="F40" i="1"/>
  <c r="E40" i="1"/>
  <c r="D40" i="1"/>
  <c r="C40" i="1"/>
  <c r="H38" i="1"/>
  <c r="D38" i="1"/>
  <c r="H37" i="1"/>
  <c r="G37" i="1"/>
  <c r="F37" i="1"/>
  <c r="E37" i="1"/>
  <c r="D37" i="1"/>
  <c r="C37" i="1"/>
  <c r="E36" i="1"/>
  <c r="E18" i="9" s="1"/>
  <c r="D36" i="1"/>
  <c r="C36" i="1"/>
  <c r="H35" i="1"/>
  <c r="G35" i="1"/>
  <c r="G38" i="1" s="1"/>
  <c r="F35" i="1"/>
  <c r="F38" i="1" s="1"/>
  <c r="E35" i="1"/>
  <c r="F10" i="9" s="1"/>
  <c r="D35" i="1"/>
  <c r="E10" i="9" s="1"/>
  <c r="C35" i="1"/>
  <c r="C38" i="1" s="1"/>
  <c r="G31" i="1"/>
  <c r="F31" i="1"/>
  <c r="E31" i="1"/>
  <c r="D31" i="1"/>
  <c r="C31" i="1"/>
  <c r="G30" i="1"/>
  <c r="F30" i="1"/>
  <c r="E30" i="1"/>
  <c r="D30" i="1"/>
  <c r="C30" i="1"/>
  <c r="H29" i="1"/>
  <c r="H17" i="9" s="1"/>
  <c r="I17" i="9" s="1"/>
  <c r="G29" i="1"/>
  <c r="F29" i="1"/>
  <c r="E29" i="1"/>
  <c r="D29" i="1"/>
  <c r="C29" i="1"/>
  <c r="H27" i="1"/>
  <c r="G27" i="1"/>
  <c r="F27" i="1"/>
  <c r="F32" i="1" s="1"/>
  <c r="E27" i="1"/>
  <c r="E32" i="1" s="1"/>
  <c r="E24" i="1"/>
  <c r="E16" i="9" s="1"/>
  <c r="D24" i="1"/>
  <c r="D16" i="9" s="1"/>
  <c r="C24" i="1"/>
  <c r="F23" i="1"/>
  <c r="F15" i="9" s="1"/>
  <c r="E23" i="1"/>
  <c r="E15" i="9" s="1"/>
  <c r="D23" i="1"/>
  <c r="D15" i="9" s="1"/>
  <c r="C23" i="1"/>
  <c r="E22" i="1"/>
  <c r="D22" i="1"/>
  <c r="D27" i="1" s="1"/>
  <c r="D32" i="1" s="1"/>
  <c r="C22" i="1"/>
  <c r="C27" i="1" s="1"/>
  <c r="C32" i="1" s="1"/>
  <c r="H21" i="1"/>
  <c r="H34" i="1" s="1"/>
  <c r="G21" i="1"/>
  <c r="G34" i="1" s="1"/>
  <c r="F21" i="1"/>
  <c r="F34" i="1" s="1"/>
  <c r="E21" i="1"/>
  <c r="E34" i="1" s="1"/>
  <c r="D21" i="1"/>
  <c r="D34" i="1" s="1"/>
  <c r="C21" i="1"/>
  <c r="C34" i="1" s="1"/>
  <c r="G14" i="1"/>
  <c r="D14" i="1"/>
  <c r="C14" i="1"/>
  <c r="H12" i="1"/>
  <c r="G12" i="1"/>
  <c r="D12" i="1"/>
  <c r="D10" i="9" s="1"/>
  <c r="C12" i="1"/>
  <c r="D10" i="1"/>
  <c r="D9" i="9" s="1"/>
  <c r="C10" i="1"/>
  <c r="H9" i="1"/>
  <c r="H8" i="9" s="1"/>
  <c r="I8" i="9" s="1"/>
  <c r="G9" i="1"/>
  <c r="G8" i="9" s="1"/>
  <c r="D9" i="1"/>
  <c r="D8" i="9" s="1"/>
  <c r="C9" i="1"/>
  <c r="G8" i="1"/>
  <c r="G11" i="1" s="1"/>
  <c r="G13" i="1" s="1"/>
  <c r="G15" i="1" s="1"/>
  <c r="G17" i="1" s="1"/>
  <c r="F8" i="1"/>
  <c r="F11" i="1" s="1"/>
  <c r="F13" i="1" s="1"/>
  <c r="H7" i="1"/>
  <c r="G7" i="1"/>
  <c r="F7" i="1"/>
  <c r="E7" i="1"/>
  <c r="E7" i="9" s="1"/>
  <c r="D7" i="1"/>
  <c r="D7" i="9" s="1"/>
  <c r="C7" i="1"/>
  <c r="D6" i="1"/>
  <c r="C6" i="1"/>
  <c r="C8" i="1" s="1"/>
  <c r="C11" i="1" s="1"/>
  <c r="C13" i="1" s="1"/>
  <c r="C15" i="1" s="1"/>
  <c r="C17" i="1" s="1"/>
  <c r="C19" i="1" s="1"/>
  <c r="G12" i="9" l="1"/>
  <c r="G19" i="1"/>
  <c r="G29" i="9" s="1"/>
  <c r="D46" i="1"/>
  <c r="E46" i="8"/>
  <c r="F45" i="1"/>
  <c r="F46" i="1" s="1"/>
  <c r="F11" i="9"/>
  <c r="F15" i="1"/>
  <c r="F17" i="1" s="1"/>
  <c r="C45" i="1"/>
  <c r="C46" i="1" s="1"/>
  <c r="G45" i="1"/>
  <c r="F45" i="8"/>
  <c r="F46" i="8" s="1"/>
  <c r="D46" i="8"/>
  <c r="G17" i="9"/>
  <c r="H9" i="9"/>
  <c r="I9" i="9" s="1"/>
  <c r="G32" i="1"/>
  <c r="I29" i="8"/>
  <c r="J17" i="9"/>
  <c r="H32" i="1"/>
  <c r="H46" i="1" s="1"/>
  <c r="E38" i="1"/>
  <c r="E45" i="1" s="1"/>
  <c r="E46" i="1" s="1"/>
  <c r="H45" i="12"/>
  <c r="H45" i="11"/>
  <c r="I35" i="8"/>
  <c r="L16" i="9"/>
  <c r="J7" i="12"/>
  <c r="K6" i="8"/>
  <c r="J7" i="11"/>
  <c r="H7" i="9"/>
  <c r="I7" i="9" s="1"/>
  <c r="H18" i="9"/>
  <c r="I18" i="9" s="1"/>
  <c r="D6" i="9"/>
  <c r="E6" i="9"/>
  <c r="D8" i="1"/>
  <c r="D11" i="1" s="1"/>
  <c r="D13" i="1" s="1"/>
  <c r="D15" i="1" s="1"/>
  <c r="D17" i="1" s="1"/>
  <c r="J8" i="9"/>
  <c r="I9" i="8"/>
  <c r="H10" i="9"/>
  <c r="I10" i="9" s="1"/>
  <c r="F9" i="9"/>
  <c r="E17" i="9"/>
  <c r="I11" i="10"/>
  <c r="J37" i="8"/>
  <c r="H46" i="12"/>
  <c r="H46" i="11"/>
  <c r="I40" i="8"/>
  <c r="J40" i="8" s="1"/>
  <c r="K40" i="8" s="1"/>
  <c r="L40" i="8" s="1"/>
  <c r="M40" i="8" s="1"/>
  <c r="H45" i="8"/>
  <c r="H46" i="8" s="1"/>
  <c r="J23" i="8"/>
  <c r="J13" i="10" s="1"/>
  <c r="G10" i="9"/>
  <c r="E9" i="9"/>
  <c r="D17" i="9"/>
  <c r="F18" i="9"/>
  <c r="F7" i="9"/>
  <c r="H8" i="1"/>
  <c r="H11" i="1" s="1"/>
  <c r="H13" i="1" s="1"/>
  <c r="G7" i="9"/>
  <c r="G18" i="9"/>
  <c r="E8" i="1"/>
  <c r="E11" i="1" s="1"/>
  <c r="E13" i="1" s="1"/>
  <c r="G11" i="9"/>
  <c r="F17" i="9"/>
  <c r="G9" i="9"/>
  <c r="D18" i="9"/>
  <c r="L15" i="9"/>
  <c r="J18" i="9" l="1"/>
  <c r="K7" i="12"/>
  <c r="L6" i="8"/>
  <c r="K7" i="11"/>
  <c r="G46" i="1"/>
  <c r="K37" i="8"/>
  <c r="J11" i="10"/>
  <c r="D11" i="9"/>
  <c r="E11" i="9"/>
  <c r="E15" i="1"/>
  <c r="E17" i="1" s="1"/>
  <c r="M16" i="9"/>
  <c r="K8" i="9"/>
  <c r="J9" i="8"/>
  <c r="J35" i="8"/>
  <c r="I10" i="8"/>
  <c r="J9" i="9"/>
  <c r="K23" i="8"/>
  <c r="K13" i="10" s="1"/>
  <c r="D12" i="9"/>
  <c r="D19" i="1"/>
  <c r="D29" i="9" s="1"/>
  <c r="I7" i="8"/>
  <c r="I36" i="8" s="1"/>
  <c r="J7" i="9"/>
  <c r="K17" i="9"/>
  <c r="J29" i="8"/>
  <c r="M15" i="9"/>
  <c r="H11" i="9"/>
  <c r="I11" i="9" s="1"/>
  <c r="H15" i="1"/>
  <c r="H17" i="1" s="1"/>
  <c r="I12" i="8"/>
  <c r="J10" i="9"/>
  <c r="K24" i="8"/>
  <c r="K12" i="10" s="1"/>
  <c r="I17" i="10"/>
  <c r="I16" i="10" s="1"/>
  <c r="F12" i="9"/>
  <c r="F19" i="1"/>
  <c r="F29" i="9" s="1"/>
  <c r="I10" i="10" l="1"/>
  <c r="I38" i="8"/>
  <c r="I9" i="12"/>
  <c r="I13" i="12" s="1"/>
  <c r="I9" i="11"/>
  <c r="I13" i="11" s="1"/>
  <c r="I8" i="10"/>
  <c r="L8" i="9"/>
  <c r="K9" i="8"/>
  <c r="L7" i="12"/>
  <c r="L7" i="11"/>
  <c r="M6" i="8"/>
  <c r="J11" i="9"/>
  <c r="L24" i="8"/>
  <c r="L12" i="10" s="1"/>
  <c r="L23" i="8"/>
  <c r="L13" i="10" s="1"/>
  <c r="K35" i="8"/>
  <c r="H12" i="9"/>
  <c r="I12" i="9" s="1"/>
  <c r="H19" i="1"/>
  <c r="H29" i="9" s="1"/>
  <c r="L37" i="8"/>
  <c r="K11" i="10"/>
  <c r="L17" i="9"/>
  <c r="K29" i="8"/>
  <c r="K10" i="9"/>
  <c r="J12" i="8"/>
  <c r="K7" i="9"/>
  <c r="J7" i="8"/>
  <c r="I23" i="10"/>
  <c r="I20" i="10" s="1"/>
  <c r="I9" i="10"/>
  <c r="M23" i="8"/>
  <c r="M13" i="10" s="1"/>
  <c r="I8" i="8"/>
  <c r="I11" i="8" s="1"/>
  <c r="I13" i="8" s="1"/>
  <c r="I14" i="8" s="1"/>
  <c r="I15" i="8" s="1"/>
  <c r="I8" i="12"/>
  <c r="I10" i="12" s="1"/>
  <c r="I11" i="12" s="1"/>
  <c r="I12" i="12" s="1"/>
  <c r="I14" i="12" s="1"/>
  <c r="I24" i="12" s="1"/>
  <c r="I36" i="12" s="1"/>
  <c r="I8" i="11"/>
  <c r="K9" i="9"/>
  <c r="J10" i="8"/>
  <c r="J17" i="10" s="1"/>
  <c r="J16" i="10" s="1"/>
  <c r="E12" i="9"/>
  <c r="E19" i="1"/>
  <c r="E29" i="9" s="1"/>
  <c r="K18" i="9"/>
  <c r="J36" i="8"/>
  <c r="J10" i="10" s="1"/>
  <c r="I10" i="11" l="1"/>
  <c r="I11" i="11" s="1"/>
  <c r="I12" i="11" s="1"/>
  <c r="I14" i="11" s="1"/>
  <c r="I24" i="11" s="1"/>
  <c r="I36" i="11" s="1"/>
  <c r="J38" i="8"/>
  <c r="I7" i="10"/>
  <c r="I6" i="10" s="1"/>
  <c r="I29" i="10" s="1"/>
  <c r="I31" i="10" s="1"/>
  <c r="I17" i="8"/>
  <c r="L10" i="9"/>
  <c r="K12" i="8"/>
  <c r="M37" i="8"/>
  <c r="M11" i="10" s="1"/>
  <c r="L11" i="10"/>
  <c r="J8" i="12"/>
  <c r="J8" i="11"/>
  <c r="J8" i="8"/>
  <c r="J11" i="8" s="1"/>
  <c r="J13" i="8" s="1"/>
  <c r="J14" i="8" s="1"/>
  <c r="J15" i="8" s="1"/>
  <c r="L35" i="8"/>
  <c r="M7" i="12"/>
  <c r="M7" i="11"/>
  <c r="M8" i="9"/>
  <c r="M9" i="8" s="1"/>
  <c r="L9" i="8"/>
  <c r="J9" i="12"/>
  <c r="J13" i="12" s="1"/>
  <c r="J9" i="11"/>
  <c r="J13" i="11" s="1"/>
  <c r="J8" i="10"/>
  <c r="L18" i="9"/>
  <c r="L9" i="9"/>
  <c r="K10" i="8"/>
  <c r="L7" i="9"/>
  <c r="K7" i="8"/>
  <c r="M17" i="9"/>
  <c r="M29" i="8" s="1"/>
  <c r="L29" i="8"/>
  <c r="J12" i="9"/>
  <c r="K12" i="9" s="1"/>
  <c r="I18" i="8"/>
  <c r="I43" i="8" s="1"/>
  <c r="J23" i="10"/>
  <c r="J20" i="10" s="1"/>
  <c r="J9" i="10"/>
  <c r="M24" i="8"/>
  <c r="M12" i="10" s="1"/>
  <c r="K11" i="9"/>
  <c r="J10" i="12" l="1"/>
  <c r="J11" i="12" s="1"/>
  <c r="J12" i="12" s="1"/>
  <c r="J14" i="12" s="1"/>
  <c r="J24" i="12" s="1"/>
  <c r="J36" i="12" s="1"/>
  <c r="M9" i="9"/>
  <c r="M10" i="8" s="1"/>
  <c r="L10" i="8"/>
  <c r="J43" i="8"/>
  <c r="K8" i="12"/>
  <c r="K8" i="11"/>
  <c r="K8" i="8"/>
  <c r="K11" i="8" s="1"/>
  <c r="K13" i="8" s="1"/>
  <c r="K14" i="8" s="1"/>
  <c r="K15" i="8" s="1"/>
  <c r="K36" i="8"/>
  <c r="J17" i="8"/>
  <c r="J18" i="8" s="1"/>
  <c r="J19" i="8" s="1"/>
  <c r="J7" i="10"/>
  <c r="J6" i="10" s="1"/>
  <c r="J29" i="10" s="1"/>
  <c r="I19" i="8"/>
  <c r="I44" i="8" s="1"/>
  <c r="I45" i="8" s="1"/>
  <c r="I46" i="8" s="1"/>
  <c r="K9" i="12"/>
  <c r="K13" i="12" s="1"/>
  <c r="K8" i="10"/>
  <c r="K9" i="11"/>
  <c r="K13" i="11" s="1"/>
  <c r="M35" i="8"/>
  <c r="M10" i="9"/>
  <c r="M12" i="8" s="1"/>
  <c r="L12" i="8"/>
  <c r="M17" i="10"/>
  <c r="M16" i="10" s="1"/>
  <c r="K17" i="10"/>
  <c r="K16" i="10" s="1"/>
  <c r="L11" i="9"/>
  <c r="L12" i="9"/>
  <c r="M12" i="9" s="1"/>
  <c r="M7" i="9"/>
  <c r="M7" i="8" s="1"/>
  <c r="L7" i="8"/>
  <c r="L36" i="8" s="1"/>
  <c r="M18" i="9"/>
  <c r="J10" i="11"/>
  <c r="J11" i="11" s="1"/>
  <c r="J12" i="11" s="1"/>
  <c r="J14" i="11" s="1"/>
  <c r="J24" i="11" s="1"/>
  <c r="J36" i="11" s="1"/>
  <c r="K23" i="10"/>
  <c r="K20" i="10" s="1"/>
  <c r="K9" i="10"/>
  <c r="I22" i="8"/>
  <c r="I27" i="8" s="1"/>
  <c r="I32" i="8" s="1"/>
  <c r="J30" i="10"/>
  <c r="L23" i="10" l="1"/>
  <c r="L20" i="10" s="1"/>
  <c r="L9" i="10"/>
  <c r="M8" i="8"/>
  <c r="M11" i="8" s="1"/>
  <c r="M13" i="8" s="1"/>
  <c r="M14" i="8" s="1"/>
  <c r="M15" i="8" s="1"/>
  <c r="M8" i="12"/>
  <c r="M8" i="11"/>
  <c r="K10" i="10"/>
  <c r="K38" i="8"/>
  <c r="L10" i="10"/>
  <c r="M11" i="9"/>
  <c r="M23" i="10"/>
  <c r="M20" i="10" s="1"/>
  <c r="M9" i="10"/>
  <c r="J31" i="10"/>
  <c r="K17" i="8"/>
  <c r="K7" i="10"/>
  <c r="M36" i="8"/>
  <c r="M10" i="10" s="1"/>
  <c r="L38" i="8"/>
  <c r="J44" i="8"/>
  <c r="J45" i="8" s="1"/>
  <c r="K10" i="11"/>
  <c r="L9" i="12"/>
  <c r="L13" i="12" s="1"/>
  <c r="L8" i="10"/>
  <c r="L9" i="11"/>
  <c r="L13" i="11" s="1"/>
  <c r="L8" i="12"/>
  <c r="L8" i="11"/>
  <c r="L8" i="8"/>
  <c r="L11" i="8" s="1"/>
  <c r="L13" i="8" s="1"/>
  <c r="L14" i="8" s="1"/>
  <c r="L15" i="8" s="1"/>
  <c r="L17" i="10"/>
  <c r="L16" i="10" s="1"/>
  <c r="K10" i="12"/>
  <c r="K11" i="12" s="1"/>
  <c r="K12" i="12" s="1"/>
  <c r="K14" i="12" s="1"/>
  <c r="K24" i="12" s="1"/>
  <c r="K36" i="12" s="1"/>
  <c r="M9" i="12"/>
  <c r="M13" i="12" s="1"/>
  <c r="M9" i="11"/>
  <c r="M13" i="11" s="1"/>
  <c r="M8" i="10"/>
  <c r="M38" i="8" l="1"/>
  <c r="K18" i="8"/>
  <c r="K43" i="8" s="1"/>
  <c r="M17" i="8"/>
  <c r="M18" i="8" s="1"/>
  <c r="M19" i="8" s="1"/>
  <c r="M7" i="10"/>
  <c r="M6" i="10" s="1"/>
  <c r="M29" i="10" s="1"/>
  <c r="L7" i="10"/>
  <c r="L6" i="10" s="1"/>
  <c r="L29" i="10" s="1"/>
  <c r="L17" i="8"/>
  <c r="L18" i="8" s="1"/>
  <c r="L19" i="8" s="1"/>
  <c r="J22" i="8"/>
  <c r="J27" i="8" s="1"/>
  <c r="J32" i="8" s="1"/>
  <c r="J46" i="8" s="1"/>
  <c r="K30" i="10"/>
  <c r="M11" i="11"/>
  <c r="L10" i="11"/>
  <c r="M10" i="11"/>
  <c r="L10" i="12"/>
  <c r="L11" i="12" s="1"/>
  <c r="L12" i="12" s="1"/>
  <c r="L14" i="12" s="1"/>
  <c r="L24" i="12" s="1"/>
  <c r="L36" i="12" s="1"/>
  <c r="K11" i="11"/>
  <c r="K12" i="11" s="1"/>
  <c r="K14" i="11" s="1"/>
  <c r="K24" i="11" s="1"/>
  <c r="K36" i="11" s="1"/>
  <c r="K6" i="10"/>
  <c r="K29" i="10" s="1"/>
  <c r="M10" i="12"/>
  <c r="M11" i="12" s="1"/>
  <c r="M12" i="12" s="1"/>
  <c r="M14" i="12" s="1"/>
  <c r="M24" i="12" s="1"/>
  <c r="K31" i="10" l="1"/>
  <c r="L30" i="10" s="1"/>
  <c r="L31" i="10" s="1"/>
  <c r="M36" i="12"/>
  <c r="M40" i="12"/>
  <c r="M41" i="12" s="1"/>
  <c r="K22" i="8"/>
  <c r="K27" i="8" s="1"/>
  <c r="K32" i="8" s="1"/>
  <c r="M12" i="11"/>
  <c r="M14" i="11" s="1"/>
  <c r="M24" i="11" s="1"/>
  <c r="L43" i="8"/>
  <c r="L11" i="11"/>
  <c r="L12" i="11" s="1"/>
  <c r="L14" i="11" s="1"/>
  <c r="L24" i="11" s="1"/>
  <c r="L36" i="11" s="1"/>
  <c r="K19" i="8"/>
  <c r="K44" i="8" s="1"/>
  <c r="M30" i="10" l="1"/>
  <c r="M31" i="10" s="1"/>
  <c r="M22" i="8" s="1"/>
  <c r="M27" i="8" s="1"/>
  <c r="M32" i="8" s="1"/>
  <c r="L22" i="8"/>
  <c r="L27" i="8" s="1"/>
  <c r="L32" i="8" s="1"/>
  <c r="M43" i="8"/>
  <c r="L44" i="8"/>
  <c r="M44" i="8" s="1"/>
  <c r="K45" i="8"/>
  <c r="K46" i="8" s="1"/>
  <c r="M36" i="11"/>
  <c r="M40" i="11"/>
  <c r="M41" i="11" s="1"/>
  <c r="H44" i="12"/>
  <c r="H50" i="12" s="1"/>
  <c r="L50" i="12" s="1"/>
  <c r="H51" i="12" s="1"/>
  <c r="H52" i="12" s="1"/>
  <c r="H54" i="12" s="1"/>
  <c r="H56" i="12" s="1"/>
  <c r="M45" i="8" l="1"/>
  <c r="M46" i="8" s="1"/>
  <c r="H44" i="11"/>
  <c r="H50" i="11" s="1"/>
  <c r="L50" i="11" s="1"/>
  <c r="H51" i="11" s="1"/>
  <c r="H52" i="11" s="1"/>
  <c r="H54" i="11" s="1"/>
  <c r="H56" i="11" s="1"/>
  <c r="L45" i="8"/>
  <c r="L46" i="8" s="1"/>
</calcChain>
</file>

<file path=xl/sharedStrings.xml><?xml version="1.0" encoding="utf-8"?>
<sst xmlns="http://schemas.openxmlformats.org/spreadsheetml/2006/main" count="314" uniqueCount="165">
  <si>
    <t>Income Statement</t>
  </si>
  <si>
    <t>Revenues</t>
  </si>
  <si>
    <t>Gross profit</t>
  </si>
  <si>
    <t>SG&amp;A expenses</t>
  </si>
  <si>
    <t>EBIT</t>
  </si>
  <si>
    <t>EBT</t>
  </si>
  <si>
    <t>Provisions for taxes</t>
  </si>
  <si>
    <t>Inventory</t>
  </si>
  <si>
    <t>Accounts Receivables</t>
  </si>
  <si>
    <t>Cash</t>
  </si>
  <si>
    <t>Plant and Machinery</t>
  </si>
  <si>
    <t>Total assets</t>
  </si>
  <si>
    <t>Balance Sheet - Assets</t>
  </si>
  <si>
    <t>Short term debt</t>
  </si>
  <si>
    <t>Accounts payable</t>
  </si>
  <si>
    <t>Long term debt</t>
  </si>
  <si>
    <t>Common equity</t>
  </si>
  <si>
    <t>2015A</t>
  </si>
  <si>
    <t>s</t>
  </si>
  <si>
    <t>Total liabilities and equity</t>
  </si>
  <si>
    <t>Balance Sheet - Liabilities and equity</t>
  </si>
  <si>
    <t>Check</t>
  </si>
  <si>
    <t>Other long term assets</t>
  </si>
  <si>
    <t>Total current assets</t>
  </si>
  <si>
    <t>2016A</t>
  </si>
  <si>
    <t>2014A</t>
  </si>
  <si>
    <t>Other short term liabilities</t>
  </si>
  <si>
    <t>Total current liabilities</t>
  </si>
  <si>
    <t>2013A</t>
  </si>
  <si>
    <t>2012A</t>
  </si>
  <si>
    <t>Other long term liabilities</t>
  </si>
  <si>
    <t>U$ bn</t>
  </si>
  <si>
    <t>Cost of goods sold (excluding depreciation and amortization cost)</t>
  </si>
  <si>
    <t>Depreciation and Amortization cost</t>
  </si>
  <si>
    <t>Interest expense (net of interest income)</t>
  </si>
  <si>
    <t>2017A</t>
  </si>
  <si>
    <t>Historical standardized financial statements - Income statement and Balance sheet</t>
  </si>
  <si>
    <t>Profits after tax (continuing operations)</t>
  </si>
  <si>
    <t>Consolidated net income</t>
  </si>
  <si>
    <t>Minority interest</t>
  </si>
  <si>
    <t>Income from discontinued operations (net of taxes)</t>
  </si>
  <si>
    <t>Consolidated net income attributable to Walmart</t>
  </si>
  <si>
    <t>Minority interest share of profits</t>
  </si>
  <si>
    <t>Other current assets</t>
  </si>
  <si>
    <t>Current assets of discontinued operations</t>
  </si>
  <si>
    <t>Goodwill</t>
  </si>
  <si>
    <t>WAL-MART STORES, INC.</t>
  </si>
  <si>
    <t>Forecasted standardized financial statements - Income statement and Balance sheet</t>
  </si>
  <si>
    <t>2018E</t>
  </si>
  <si>
    <t>2019E</t>
  </si>
  <si>
    <t>2020E</t>
  </si>
  <si>
    <t>2021E</t>
  </si>
  <si>
    <t>2022E</t>
  </si>
  <si>
    <t>FORECASTED</t>
  </si>
  <si>
    <t>HISTORICAL</t>
  </si>
  <si>
    <t>Income Statement ratios</t>
  </si>
  <si>
    <t>Year on year revenue growth</t>
  </si>
  <si>
    <t>Cost of goods sold as % of revenues</t>
  </si>
  <si>
    <t>SG&amp;A expenses as % revenues</t>
  </si>
  <si>
    <t>Depreciation expenses as % of opening plant &amp; machinery</t>
  </si>
  <si>
    <t>Interest expenses as % of opening total debt</t>
  </si>
  <si>
    <t>Effective tax rate as % of pre-tax profit</t>
  </si>
  <si>
    <t>Balance Sheet ratios</t>
  </si>
  <si>
    <t>Inventory as % of total revenues</t>
  </si>
  <si>
    <t>Accounts Receivables as % of total revenues</t>
  </si>
  <si>
    <t>Plant and machinery as % of total revenues</t>
  </si>
  <si>
    <t>Accounts payables as % of total cost of goods sold</t>
  </si>
  <si>
    <t>Key income statement and balance sheet ratios</t>
  </si>
  <si>
    <t>Minority share of profit as % of total consolidated profit</t>
  </si>
  <si>
    <t>Dividend payout ratio as % of total profit</t>
  </si>
  <si>
    <t>Cash flow statement</t>
  </si>
  <si>
    <t>Cash flow from operations</t>
  </si>
  <si>
    <t>Add: Interest expense</t>
  </si>
  <si>
    <t>Add: Increase in accounts payable</t>
  </si>
  <si>
    <t>Less: Increase in inventory</t>
  </si>
  <si>
    <t>Less: Increase in accounts receivables</t>
  </si>
  <si>
    <t>Cash flow from investment</t>
  </si>
  <si>
    <t>Less: Capex in plant and machinery</t>
  </si>
  <si>
    <t>Cash flow from financing</t>
  </si>
  <si>
    <t>Less: Interest expense</t>
  </si>
  <si>
    <t>Net cash flows</t>
  </si>
  <si>
    <t>Opening cash balance</t>
  </si>
  <si>
    <t>Closing cash balance</t>
  </si>
  <si>
    <t>Dividends paid to common shareholders (USD bn)</t>
  </si>
  <si>
    <t>Short term borrowings repaid</t>
  </si>
  <si>
    <t>Short term borrowings added</t>
  </si>
  <si>
    <t>Long term borrowings added</t>
  </si>
  <si>
    <t>Long term borrowings repaid</t>
  </si>
  <si>
    <t>Unit</t>
  </si>
  <si>
    <t>%</t>
  </si>
  <si>
    <t>USD bn</t>
  </si>
  <si>
    <t>Forecasted Cash flow statement</t>
  </si>
  <si>
    <t>Consolidated net income from continuing operations</t>
  </si>
  <si>
    <t>Add: Increase in other short term liabilities</t>
  </si>
  <si>
    <t>Less: Increase in other short term assets</t>
  </si>
  <si>
    <t>Add: New short term debt to be raised</t>
  </si>
  <si>
    <t>Add: New long term debt to be raised</t>
  </si>
  <si>
    <t>Less: Short term debt to be repaid</t>
  </si>
  <si>
    <t>Less: Long term debt to be repaid</t>
  </si>
  <si>
    <t>Less: Dividends to be paid to common shareholders</t>
  </si>
  <si>
    <t>Less: Share buyback from common shareholders</t>
  </si>
  <si>
    <t>Percent, USD bn</t>
  </si>
  <si>
    <t>Common equity sharebuy back (USD bn)</t>
  </si>
  <si>
    <t>Key cash flow numbers</t>
  </si>
  <si>
    <t>Add: Depreciation and amortization</t>
  </si>
  <si>
    <t>Less: Increase in goodwill</t>
  </si>
  <si>
    <t>DISCOUNTED CASH FLOW TECHNIQUE OF VALUATION</t>
  </si>
  <si>
    <t>Free cash flow to firm calculation (FCFF)</t>
  </si>
  <si>
    <t>Operating cash profit calculation</t>
  </si>
  <si>
    <t>FY 2017A</t>
  </si>
  <si>
    <t>FY2018E</t>
  </si>
  <si>
    <t>FY2019E</t>
  </si>
  <si>
    <t>FY2020E</t>
  </si>
  <si>
    <t>FY2021E</t>
  </si>
  <si>
    <t>FY2022E</t>
  </si>
  <si>
    <t>Less: Operating expenses (COGS + SGA)</t>
  </si>
  <si>
    <t>Less: Depreciation</t>
  </si>
  <si>
    <t>Earnings before interest and tax (EBIT)</t>
  </si>
  <si>
    <t>Less: Operating taxes</t>
  </si>
  <si>
    <t>Add: Depreciation</t>
  </si>
  <si>
    <t>Post tax operating cash profit</t>
  </si>
  <si>
    <t>Operating cash investments</t>
  </si>
  <si>
    <t>Working Capital</t>
  </si>
  <si>
    <t>Increase in working capital</t>
  </si>
  <si>
    <t>Free cash flow to firm</t>
  </si>
  <si>
    <t>FCFF</t>
  </si>
  <si>
    <t>Cost of Capital calculation</t>
  </si>
  <si>
    <t>Percent</t>
  </si>
  <si>
    <t>Tax rate</t>
  </si>
  <si>
    <t xml:space="preserve">Cost of debt </t>
  </si>
  <si>
    <t>Cost of equity</t>
  </si>
  <si>
    <t>Target capital structure (debt to capital)</t>
  </si>
  <si>
    <t>WACC (Weighted average cost of capital)</t>
  </si>
  <si>
    <t>WACC=% of debt in total capital*post tax cost of debt+% of equity*cost of equity</t>
  </si>
  <si>
    <t>Present value of future cash flows</t>
  </si>
  <si>
    <t>Years from current</t>
  </si>
  <si>
    <t>Discount factor</t>
  </si>
  <si>
    <t>Present value of FCFF</t>
  </si>
  <si>
    <t>Terminal value calculation</t>
  </si>
  <si>
    <t>Terminal growth</t>
  </si>
  <si>
    <t>Terminal value</t>
  </si>
  <si>
    <t>TV=FCFF (2022)*(1+g)/(WACC-g)</t>
  </si>
  <si>
    <t>Present value of terminal value</t>
  </si>
  <si>
    <t>Share price calculation</t>
  </si>
  <si>
    <t>Total shares outstanding (bn)</t>
  </si>
  <si>
    <t>Current market price</t>
  </si>
  <si>
    <t>Gap</t>
  </si>
  <si>
    <t>Post tax operating profit (NOPLAT)</t>
  </si>
  <si>
    <t>Capital expenditures investments</t>
  </si>
  <si>
    <t>Less: Short term debt</t>
  </si>
  <si>
    <t>Less: Long term debt</t>
  </si>
  <si>
    <t>Less: Other long term liabilities</t>
  </si>
  <si>
    <t>Add: Cash and cash equivalents</t>
  </si>
  <si>
    <t>Add: Other long term assets</t>
  </si>
  <si>
    <t>Enterprise value (EV) for Walmart</t>
  </si>
  <si>
    <t>Less: Value of minority interest</t>
  </si>
  <si>
    <t>Walmart's equity value</t>
  </si>
  <si>
    <t>Consolidated equity value</t>
  </si>
  <si>
    <t>Walmart's equity value per share</t>
  </si>
  <si>
    <t>2017 tax rate</t>
  </si>
  <si>
    <t>Bloomberg</t>
  </si>
  <si>
    <t>Consolidated P/B multiple</t>
  </si>
  <si>
    <t>SENSITIVITY ANALYSIS</t>
  </si>
  <si>
    <t>Terminal Growth Rate</t>
  </si>
  <si>
    <t>Weighted average cost of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</si>
</sst>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0.0"/>
    <numFmt numFmtId="166" formatCode="0.0%"/>
  </numFmts>
  <fonts count="2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50"/>
      <color theme="1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</cellStyleXfs>
  <cellXfs count="2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1" fillId="2" borderId="3" xfId="0" applyFont="1" applyFill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2" fillId="0" borderId="5" xfId="0" applyFont="1" applyBorder="1"/>
    <xf numFmtId="0" fontId="3" fillId="0" borderId="0" xfId="0" applyFont="1"/>
    <xf numFmtId="1" fontId="2" fillId="0" borderId="0" xfId="0" applyNumberFormat="1" applyFont="1" applyFill="1" applyAlignment="1">
      <alignment horizontal="center"/>
    </xf>
    <xf numFmtId="0" fontId="2" fillId="0" borderId="0" xfId="0" applyFont="1" applyBorder="1"/>
    <xf numFmtId="0" fontId="0" fillId="0" borderId="3" xfId="0" applyFill="1" applyBorder="1"/>
    <xf numFmtId="1" fontId="0" fillId="0" borderId="0" xfId="0" applyNumberFormat="1" applyFill="1" applyAlignment="1">
      <alignment horizontal="center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/>
    <xf numFmtId="0" fontId="5" fillId="0" borderId="0" xfId="0" applyFont="1" applyFill="1"/>
    <xf numFmtId="1" fontId="0" fillId="0" borderId="0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0" xfId="0" applyFont="1"/>
    <xf numFmtId="9" fontId="3" fillId="0" borderId="0" xfId="0" applyNumberFormat="1" applyFont="1" applyAlignment="1">
      <alignment horizontal="center"/>
    </xf>
    <xf numFmtId="1" fontId="2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0" fontId="0" fillId="0" borderId="4" xfId="0" applyFont="1" applyBorder="1"/>
    <xf numFmtId="0" fontId="0" fillId="0" borderId="3" xfId="0" applyFont="1" applyBorder="1"/>
    <xf numFmtId="1" fontId="0" fillId="0" borderId="1" xfId="0" applyNumberFormat="1" applyFont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Border="1" applyAlignment="1">
      <alignment horizontal="center"/>
    </xf>
    <xf numFmtId="1" fontId="0" fillId="3" borderId="0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Fill="1"/>
    <xf numFmtId="0" fontId="9" fillId="2" borderId="3" xfId="0" applyFont="1" applyFill="1" applyBorder="1"/>
    <xf numFmtId="0" fontId="9" fillId="2" borderId="9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8" fillId="0" borderId="3" xfId="0" applyFont="1" applyBorder="1"/>
    <xf numFmtId="0" fontId="8" fillId="0" borderId="9" xfId="0" applyFont="1" applyFill="1" applyBorder="1" applyAlignment="1">
      <alignment horizontal="center"/>
    </xf>
    <xf numFmtId="9" fontId="8" fillId="4" borderId="0" xfId="0" applyNumberFormat="1" applyFont="1" applyFill="1" applyAlignment="1">
      <alignment horizontal="center"/>
    </xf>
    <xf numFmtId="166" fontId="8" fillId="0" borderId="9" xfId="4" applyNumberFormat="1" applyFont="1" applyFill="1" applyBorder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0" borderId="9" xfId="0" applyFont="1" applyFill="1" applyBorder="1"/>
    <xf numFmtId="0" fontId="8" fillId="0" borderId="3" xfId="0" applyFont="1" applyFill="1" applyBorder="1"/>
    <xf numFmtId="9" fontId="8" fillId="0" borderId="0" xfId="4" applyNumberFormat="1" applyFont="1" applyFill="1" applyAlignment="1">
      <alignment horizontal="center"/>
    </xf>
    <xf numFmtId="9" fontId="8" fillId="0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9" fillId="2" borderId="0" xfId="0" applyFont="1" applyFill="1" applyBorder="1"/>
    <xf numFmtId="0" fontId="8" fillId="0" borderId="0" xfId="0" applyFont="1" applyBorder="1"/>
    <xf numFmtId="0" fontId="1" fillId="2" borderId="0" xfId="0" applyFont="1" applyFill="1" applyBorder="1"/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9" fontId="8" fillId="3" borderId="13" xfId="4" applyNumberFormat="1" applyFont="1" applyFill="1" applyBorder="1" applyAlignment="1">
      <alignment horizontal="center"/>
    </xf>
    <xf numFmtId="9" fontId="8" fillId="3" borderId="0" xfId="4" applyNumberFormat="1" applyFont="1" applyFill="1" applyBorder="1" applyAlignment="1">
      <alignment horizontal="center"/>
    </xf>
    <xf numFmtId="9" fontId="8" fillId="3" borderId="3" xfId="4" applyNumberFormat="1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165" fontId="8" fillId="0" borderId="0" xfId="0" applyNumberFormat="1" applyFont="1" applyFill="1" applyAlignment="1">
      <alignment horizontal="center"/>
    </xf>
    <xf numFmtId="165" fontId="4" fillId="3" borderId="13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Border="1" applyAlignment="1">
      <alignment horizontal="center" vertical="center"/>
    </xf>
    <xf numFmtId="1" fontId="4" fillId="3" borderId="0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" fontId="4" fillId="3" borderId="13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165" fontId="4" fillId="3" borderId="13" xfId="0" applyNumberFormat="1" applyFont="1" applyFill="1" applyBorder="1" applyAlignment="1">
      <alignment horizontal="center"/>
    </xf>
    <xf numFmtId="9" fontId="8" fillId="3" borderId="13" xfId="4" applyFont="1" applyFill="1" applyBorder="1" applyAlignment="1">
      <alignment horizontal="center"/>
    </xf>
    <xf numFmtId="9" fontId="8" fillId="3" borderId="0" xfId="4" applyFont="1" applyFill="1" applyBorder="1" applyAlignment="1">
      <alignment horizontal="center"/>
    </xf>
    <xf numFmtId="9" fontId="8" fillId="3" borderId="3" xfId="4" applyFont="1" applyFill="1" applyBorder="1" applyAlignment="1">
      <alignment horizontal="center"/>
    </xf>
    <xf numFmtId="165" fontId="8" fillId="5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11" fillId="0" borderId="0" xfId="0" applyFont="1"/>
    <xf numFmtId="0" fontId="12" fillId="0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3" fillId="0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0" fillId="0" borderId="0" xfId="0" applyBorder="1"/>
    <xf numFmtId="0" fontId="0" fillId="0" borderId="1" xfId="0" applyBorder="1"/>
    <xf numFmtId="0" fontId="2" fillId="0" borderId="2" xfId="0" applyFont="1" applyBorder="1"/>
    <xf numFmtId="1" fontId="2" fillId="0" borderId="2" xfId="0" applyNumberFormat="1" applyFont="1" applyFill="1" applyBorder="1" applyAlignment="1">
      <alignment horizontal="center"/>
    </xf>
    <xf numFmtId="1" fontId="0" fillId="0" borderId="0" xfId="0" applyNumberFormat="1" applyFont="1" applyFill="1" applyAlignment="1">
      <alignment horizontal="center"/>
    </xf>
    <xf numFmtId="1" fontId="0" fillId="3" borderId="0" xfId="0" applyNumberFormat="1" applyFont="1" applyFill="1" applyAlignment="1">
      <alignment horizontal="center"/>
    </xf>
    <xf numFmtId="0" fontId="3" fillId="0" borderId="0" xfId="0" applyFont="1" applyBorder="1"/>
    <xf numFmtId="0" fontId="10" fillId="0" borderId="3" xfId="0" quotePrefix="1" applyFont="1" applyFill="1" applyBorder="1"/>
    <xf numFmtId="0" fontId="10" fillId="0" borderId="0" xfId="0" quotePrefix="1" applyFont="1" applyFill="1" applyBorder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0" fillId="0" borderId="3" xfId="0" quotePrefix="1" applyFont="1" applyFill="1" applyBorder="1"/>
    <xf numFmtId="0" fontId="0" fillId="0" borderId="1" xfId="0" applyFont="1" applyBorder="1"/>
    <xf numFmtId="0" fontId="0" fillId="0" borderId="1" xfId="0" applyFont="1" applyFill="1" applyBorder="1"/>
    <xf numFmtId="165" fontId="0" fillId="3" borderId="1" xfId="0" applyNumberFormat="1" applyFont="1" applyFill="1" applyBorder="1" applyAlignment="1">
      <alignment horizontal="center"/>
    </xf>
    <xf numFmtId="0" fontId="14" fillId="0" borderId="2" xfId="0" applyFont="1" applyBorder="1"/>
    <xf numFmtId="0" fontId="3" fillId="0" borderId="2" xfId="0" applyFont="1" applyFill="1" applyBorder="1"/>
    <xf numFmtId="0" fontId="13" fillId="2" borderId="3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2" fillId="0" borderId="2" xfId="0" applyFont="1" applyFill="1" applyBorder="1"/>
    <xf numFmtId="0" fontId="15" fillId="0" borderId="3" xfId="0" applyFont="1" applyBorder="1"/>
    <xf numFmtId="0" fontId="15" fillId="0" borderId="0" xfId="0" applyFont="1" applyBorder="1"/>
    <xf numFmtId="9" fontId="0" fillId="3" borderId="0" xfId="0" applyNumberFormat="1" applyFill="1" applyAlignment="1">
      <alignment horizontal="center"/>
    </xf>
    <xf numFmtId="9" fontId="0" fillId="0" borderId="0" xfId="0" applyNumberFormat="1"/>
    <xf numFmtId="166" fontId="2" fillId="3" borderId="2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Fill="1" applyBorder="1"/>
    <xf numFmtId="165" fontId="0" fillId="3" borderId="1" xfId="0" applyNumberFormat="1" applyFill="1" applyBorder="1" applyAlignment="1">
      <alignment horizontal="center"/>
    </xf>
    <xf numFmtId="0" fontId="0" fillId="0" borderId="2" xfId="0" applyFont="1" applyFill="1" applyBorder="1"/>
    <xf numFmtId="1" fontId="16" fillId="3" borderId="0" xfId="0" applyNumberFormat="1" applyFont="1" applyFill="1" applyAlignment="1">
      <alignment horizontal="center"/>
    </xf>
    <xf numFmtId="0" fontId="0" fillId="0" borderId="4" xfId="0" applyFill="1" applyBorder="1"/>
    <xf numFmtId="0" fontId="2" fillId="0" borderId="0" xfId="0" applyFont="1" applyFill="1" applyBorder="1"/>
    <xf numFmtId="0" fontId="2" fillId="0" borderId="3" xfId="0" applyFont="1" applyFill="1" applyBorder="1"/>
    <xf numFmtId="0" fontId="0" fillId="3" borderId="1" xfId="0" applyFill="1" applyBorder="1" applyAlignment="1">
      <alignment horizontal="center"/>
    </xf>
    <xf numFmtId="9" fontId="2" fillId="3" borderId="0" xfId="4" applyFont="1" applyFill="1" applyAlignment="1">
      <alignment horizontal="center"/>
    </xf>
    <xf numFmtId="0" fontId="13" fillId="0" borderId="0" xfId="0" applyFont="1" applyFill="1" applyAlignment="1">
      <alignment horizontal="left"/>
    </xf>
    <xf numFmtId="1" fontId="16" fillId="3" borderId="1" xfId="0" applyNumberFormat="1" applyFont="1" applyFill="1" applyBorder="1" applyAlignment="1">
      <alignment horizontal="center"/>
    </xf>
    <xf numFmtId="0" fontId="0" fillId="0" borderId="4" xfId="0" applyFont="1" applyFill="1" applyBorder="1"/>
    <xf numFmtId="0" fontId="2" fillId="0" borderId="1" xfId="0" applyFont="1" applyFill="1" applyBorder="1"/>
    <xf numFmtId="9" fontId="0" fillId="0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 applyFill="1" applyAlignment="1">
      <alignment horizontal="left"/>
    </xf>
    <xf numFmtId="0" fontId="21" fillId="0" borderId="0" xfId="0" applyFont="1" applyFill="1" applyAlignment="1">
      <alignment horizontal="left"/>
    </xf>
    <xf numFmtId="0" fontId="21" fillId="0" borderId="0" xfId="0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8" fillId="0" borderId="3" xfId="0" applyFont="1" applyBorder="1"/>
    <xf numFmtId="0" fontId="18" fillId="0" borderId="0" xfId="0" applyFont="1" applyBorder="1"/>
    <xf numFmtId="1" fontId="18" fillId="0" borderId="0" xfId="0" applyNumberFormat="1" applyFont="1" applyFill="1" applyAlignment="1">
      <alignment horizontal="center"/>
    </xf>
    <xf numFmtId="1" fontId="18" fillId="3" borderId="0" xfId="0" applyNumberFormat="1" applyFont="1" applyFill="1" applyAlignment="1">
      <alignment horizontal="center"/>
    </xf>
    <xf numFmtId="0" fontId="18" fillId="0" borderId="4" xfId="0" applyFont="1" applyBorder="1"/>
    <xf numFmtId="0" fontId="18" fillId="0" borderId="1" xfId="0" applyFont="1" applyBorder="1"/>
    <xf numFmtId="1" fontId="18" fillId="0" borderId="1" xfId="0" applyNumberFormat="1" applyFont="1" applyFill="1" applyBorder="1" applyAlignment="1">
      <alignment horizontal="center"/>
    </xf>
    <xf numFmtId="1" fontId="18" fillId="3" borderId="1" xfId="0" applyNumberFormat="1" applyFont="1" applyFill="1" applyBorder="1" applyAlignment="1">
      <alignment horizontal="center"/>
    </xf>
    <xf numFmtId="0" fontId="17" fillId="0" borderId="3" xfId="0" applyFont="1" applyBorder="1"/>
    <xf numFmtId="0" fontId="17" fillId="0" borderId="0" xfId="0" applyFont="1" applyBorder="1"/>
    <xf numFmtId="1" fontId="17" fillId="0" borderId="0" xfId="0" applyNumberFormat="1" applyFont="1" applyFill="1" applyAlignment="1">
      <alignment horizontal="center"/>
    </xf>
    <xf numFmtId="1" fontId="17" fillId="3" borderId="0" xfId="0" applyNumberFormat="1" applyFont="1" applyFill="1" applyAlignment="1">
      <alignment horizontal="center"/>
    </xf>
    <xf numFmtId="0" fontId="17" fillId="0" borderId="5" xfId="0" applyFont="1" applyBorder="1"/>
    <xf numFmtId="0" fontId="17" fillId="0" borderId="2" xfId="0" applyFont="1" applyBorder="1"/>
    <xf numFmtId="1" fontId="17" fillId="0" borderId="2" xfId="0" applyNumberFormat="1" applyFont="1" applyFill="1" applyBorder="1" applyAlignment="1">
      <alignment horizontal="center"/>
    </xf>
    <xf numFmtId="1" fontId="17" fillId="3" borderId="2" xfId="0" applyNumberFormat="1" applyFont="1" applyFill="1" applyBorder="1" applyAlignment="1">
      <alignment horizontal="center"/>
    </xf>
    <xf numFmtId="0" fontId="22" fillId="0" borderId="0" xfId="0" applyFont="1" applyBorder="1"/>
    <xf numFmtId="0" fontId="23" fillId="0" borderId="3" xfId="0" quotePrefix="1" applyFont="1" applyFill="1" applyBorder="1"/>
    <xf numFmtId="0" fontId="23" fillId="0" borderId="0" xfId="0" quotePrefix="1" applyFont="1" applyFill="1" applyBorder="1"/>
    <xf numFmtId="0" fontId="23" fillId="0" borderId="0" xfId="0" applyFont="1" applyFill="1"/>
    <xf numFmtId="0" fontId="23" fillId="0" borderId="0" xfId="0" applyFont="1" applyFill="1" applyAlignment="1">
      <alignment horizontal="center"/>
    </xf>
    <xf numFmtId="0" fontId="18" fillId="0" borderId="3" xfId="0" quotePrefix="1" applyFont="1" applyFill="1" applyBorder="1"/>
    <xf numFmtId="0" fontId="18" fillId="0" borderId="1" xfId="0" applyFont="1" applyFill="1" applyBorder="1"/>
    <xf numFmtId="165" fontId="18" fillId="3" borderId="1" xfId="0" applyNumberFormat="1" applyFont="1" applyFill="1" applyBorder="1" applyAlignment="1">
      <alignment horizontal="center"/>
    </xf>
    <xf numFmtId="0" fontId="24" fillId="0" borderId="2" xfId="0" applyFont="1" applyBorder="1"/>
    <xf numFmtId="0" fontId="22" fillId="0" borderId="2" xfId="0" applyFont="1" applyFill="1" applyBorder="1"/>
    <xf numFmtId="0" fontId="21" fillId="2" borderId="3" xfId="0" applyFont="1" applyFill="1" applyBorder="1" applyAlignment="1">
      <alignment horizontal="left"/>
    </xf>
    <xf numFmtId="0" fontId="21" fillId="2" borderId="0" xfId="0" applyFont="1" applyFill="1" applyBorder="1" applyAlignment="1">
      <alignment horizontal="left"/>
    </xf>
    <xf numFmtId="0" fontId="17" fillId="0" borderId="2" xfId="0" applyFont="1" applyFill="1" applyBorder="1"/>
    <xf numFmtId="0" fontId="25" fillId="0" borderId="3" xfId="0" applyFont="1" applyBorder="1"/>
    <xf numFmtId="0" fontId="25" fillId="0" borderId="0" xfId="0" applyFont="1" applyBorder="1"/>
    <xf numFmtId="9" fontId="18" fillId="0" borderId="0" xfId="0" applyNumberFormat="1" applyFont="1" applyFill="1" applyAlignment="1">
      <alignment horizontal="center"/>
    </xf>
    <xf numFmtId="9" fontId="18" fillId="0" borderId="0" xfId="0" applyNumberFormat="1" applyFont="1"/>
    <xf numFmtId="166" fontId="17" fillId="3" borderId="2" xfId="0" applyNumberFormat="1" applyFont="1" applyFill="1" applyBorder="1" applyAlignment="1">
      <alignment horizontal="center"/>
    </xf>
    <xf numFmtId="0" fontId="18" fillId="0" borderId="0" xfId="0" applyFont="1" applyFill="1"/>
    <xf numFmtId="0" fontId="18" fillId="3" borderId="0" xfId="0" applyFont="1" applyFill="1" applyAlignment="1">
      <alignment horizontal="center"/>
    </xf>
    <xf numFmtId="0" fontId="18" fillId="0" borderId="2" xfId="0" applyFont="1" applyFill="1" applyBorder="1"/>
    <xf numFmtId="9" fontId="18" fillId="3" borderId="0" xfId="0" applyNumberFormat="1" applyFont="1" applyFill="1" applyAlignment="1">
      <alignment horizontal="center"/>
    </xf>
    <xf numFmtId="1" fontId="26" fillId="3" borderId="0" xfId="0" applyNumberFormat="1" applyFont="1" applyFill="1" applyAlignment="1">
      <alignment horizontal="center"/>
    </xf>
    <xf numFmtId="1" fontId="26" fillId="3" borderId="1" xfId="0" applyNumberFormat="1" applyFont="1" applyFill="1" applyBorder="1" applyAlignment="1">
      <alignment horizontal="center"/>
    </xf>
    <xf numFmtId="0" fontId="17" fillId="0" borderId="3" xfId="0" applyFont="1" applyFill="1" applyBorder="1"/>
    <xf numFmtId="0" fontId="17" fillId="0" borderId="0" xfId="0" applyFont="1" applyFill="1" applyBorder="1"/>
    <xf numFmtId="165" fontId="18" fillId="3" borderId="0" xfId="0" applyNumberFormat="1" applyFont="1" applyFill="1" applyAlignment="1">
      <alignment horizontal="center"/>
    </xf>
    <xf numFmtId="0" fontId="18" fillId="0" borderId="4" xfId="0" applyFont="1" applyFill="1" applyBorder="1"/>
    <xf numFmtId="0" fontId="17" fillId="0" borderId="1" xfId="0" applyFont="1" applyFill="1" applyBorder="1"/>
    <xf numFmtId="165" fontId="17" fillId="3" borderId="0" xfId="0" applyNumberFormat="1" applyFont="1" applyFill="1" applyAlignment="1">
      <alignment horizontal="center"/>
    </xf>
    <xf numFmtId="0" fontId="18" fillId="3" borderId="1" xfId="0" applyFont="1" applyFill="1" applyBorder="1" applyAlignment="1">
      <alignment horizontal="center"/>
    </xf>
    <xf numFmtId="9" fontId="17" fillId="3" borderId="0" xfId="4" applyFont="1" applyFill="1" applyAlignment="1">
      <alignment horizontal="center"/>
    </xf>
    <xf numFmtId="9" fontId="17" fillId="0" borderId="0" xfId="4" applyFont="1" applyFill="1" applyAlignment="1">
      <alignment horizontal="center"/>
    </xf>
    <xf numFmtId="0" fontId="24" fillId="0" borderId="14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 wrapText="1"/>
    </xf>
    <xf numFmtId="165" fontId="18" fillId="3" borderId="14" xfId="0" applyNumberFormat="1" applyFont="1" applyFill="1" applyBorder="1" applyAlignment="1">
      <alignment horizontal="center"/>
    </xf>
    <xf numFmtId="166" fontId="18" fillId="0" borderId="7" xfId="0" applyNumberFormat="1" applyFont="1" applyBorder="1" applyAlignment="1">
      <alignment horizontal="center"/>
    </xf>
    <xf numFmtId="166" fontId="18" fillId="0" borderId="8" xfId="0" applyNumberFormat="1" applyFon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166" fontId="18" fillId="0" borderId="18" xfId="0" applyNumberFormat="1" applyFont="1" applyBorder="1" applyAlignment="1">
      <alignment horizontal="center"/>
    </xf>
    <xf numFmtId="165" fontId="18" fillId="3" borderId="0" xfId="0" applyNumberFormat="1" applyFont="1" applyFill="1" applyBorder="1" applyAlignment="1">
      <alignment horizontal="center"/>
    </xf>
    <xf numFmtId="165" fontId="18" fillId="3" borderId="19" xfId="0" applyNumberFormat="1" applyFont="1" applyFill="1" applyBorder="1" applyAlignment="1">
      <alignment horizontal="center"/>
    </xf>
    <xf numFmtId="0" fontId="17" fillId="0" borderId="20" xfId="0" applyFont="1" applyBorder="1" applyAlignment="1">
      <alignment horizontal="center" vertical="center" wrapText="1"/>
    </xf>
    <xf numFmtId="166" fontId="18" fillId="0" borderId="21" xfId="0" applyNumberFormat="1" applyFont="1" applyBorder="1" applyAlignment="1">
      <alignment horizontal="center"/>
    </xf>
    <xf numFmtId="165" fontId="18" fillId="3" borderId="22" xfId="0" applyNumberFormat="1" applyFont="1" applyFill="1" applyBorder="1" applyAlignment="1">
      <alignment horizontal="center"/>
    </xf>
    <xf numFmtId="165" fontId="18" fillId="3" borderId="23" xfId="0" applyNumberFormat="1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165" fontId="4" fillId="3" borderId="0" xfId="0" applyNumberFormat="1" applyFont="1" applyFill="1" applyAlignment="1">
      <alignment horizontal="center"/>
    </xf>
  </cellXfs>
  <cellStyles count="5">
    <cellStyle name="Currency 2 2" xfId="1" xr:uid="{00000000-0005-0000-0000-000000000000}"/>
    <cellStyle name="Normal" xfId="0" builtinId="0"/>
    <cellStyle name="Normal 2" xfId="2" xr:uid="{00000000-0005-0000-0000-000002000000}"/>
    <cellStyle name="Normal 4 2" xfId="3" xr:uid="{00000000-0005-0000-0000-000003000000}"/>
    <cellStyle name="Percent" xfId="4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18</xdr:col>
      <xdr:colOff>566161</xdr:colOff>
      <xdr:row>17</xdr:row>
      <xdr:rowOff>57150</xdr:rowOff>
    </xdr:to>
    <xdr:pic>
      <xdr:nvPicPr>
        <xdr:cNvPr id="2" name="Picture 1" descr="skillfin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6151" b="29092"/>
        <a:stretch>
          <a:fillRect/>
        </a:stretch>
      </xdr:blipFill>
      <xdr:spPr>
        <a:xfrm>
          <a:off x="133350" y="104775"/>
          <a:ext cx="11405611" cy="3190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showGridLines="0" zoomScaleNormal="100" workbookViewId="0">
      <selection activeCell="I19" sqref="I19"/>
    </sheetView>
  </sheetViews>
  <sheetFormatPr defaultColWidth="0" defaultRowHeight="15" customHeight="1" zeroHeight="1" x14ac:dyDescent="0.25"/>
  <cols>
    <col min="1" max="19" width="9.140625" style="21" customWidth="1"/>
    <col min="20" max="20" width="4.42578125" style="21" customWidth="1"/>
    <col min="21" max="16384" width="9.140625" style="21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:2" x14ac:dyDescent="0.25"/>
    <row r="18" spans="2:2" x14ac:dyDescent="0.25"/>
    <row r="19" spans="2:2" x14ac:dyDescent="0.25"/>
    <row r="22" spans="2:2" ht="62.25" hidden="1" x14ac:dyDescent="0.8">
      <c r="B22" s="22"/>
    </row>
  </sheetData>
  <sheetProtection password="8401" sheet="1" objects="1" scenarios="1" selectLockedCells="1" selectUnlockedCells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7"/>
  <sheetViews>
    <sheetView showGridLines="0" zoomScale="130" zoomScaleNormal="130" workbookViewId="0">
      <pane xSplit="2" topLeftCell="C1" activePane="topRight" state="frozen"/>
      <selection pane="topRight" activeCell="H10" sqref="H10"/>
    </sheetView>
  </sheetViews>
  <sheetFormatPr defaultColWidth="0" defaultRowHeight="15" zeroHeight="1" x14ac:dyDescent="0.25"/>
  <cols>
    <col min="1" max="1" width="2.85546875" customWidth="1"/>
    <col min="2" max="2" width="64" bestFit="1" customWidth="1"/>
    <col min="3" max="8" width="9" style="2" customWidth="1"/>
    <col min="9" max="9" width="2.85546875" customWidth="1"/>
    <col min="10" max="18" width="0" hidden="1" customWidth="1"/>
    <col min="19" max="16384" width="9.140625" hidden="1"/>
  </cols>
  <sheetData>
    <row r="1" spans="1:11" x14ac:dyDescent="0.25">
      <c r="A1" s="1" t="s">
        <v>46</v>
      </c>
    </row>
    <row r="2" spans="1:11" x14ac:dyDescent="0.25">
      <c r="A2" t="s">
        <v>36</v>
      </c>
      <c r="C2" s="19"/>
      <c r="D2" s="19"/>
      <c r="E2" s="19"/>
      <c r="F2" s="28"/>
    </row>
    <row r="3" spans="1:11" x14ac:dyDescent="0.25">
      <c r="A3" s="27" t="s">
        <v>31</v>
      </c>
      <c r="C3" s="19"/>
      <c r="D3" s="19"/>
      <c r="E3" s="19"/>
      <c r="F3" s="19"/>
    </row>
    <row r="4" spans="1:11" x14ac:dyDescent="0.25">
      <c r="B4" s="11"/>
      <c r="C4" s="19"/>
      <c r="D4" s="19"/>
      <c r="E4" s="19"/>
      <c r="F4" s="19"/>
    </row>
    <row r="5" spans="1:11" x14ac:dyDescent="0.25">
      <c r="B5" s="6" t="s">
        <v>0</v>
      </c>
      <c r="C5" s="18" t="s">
        <v>29</v>
      </c>
      <c r="D5" s="18" t="s">
        <v>28</v>
      </c>
      <c r="E5" s="18" t="s">
        <v>25</v>
      </c>
      <c r="F5" s="18" t="s">
        <v>17</v>
      </c>
      <c r="G5" s="4" t="s">
        <v>24</v>
      </c>
      <c r="H5" s="4" t="s">
        <v>35</v>
      </c>
    </row>
    <row r="6" spans="1:11" x14ac:dyDescent="0.25">
      <c r="B6" s="7" t="s">
        <v>1</v>
      </c>
      <c r="C6" s="23">
        <f>446.509</f>
        <v>446.50900000000001</v>
      </c>
      <c r="D6" s="23">
        <f>468.651</f>
        <v>468.65100000000001</v>
      </c>
      <c r="E6" s="23">
        <v>476.29399999999998</v>
      </c>
      <c r="F6" s="23">
        <v>485.65100000000001</v>
      </c>
      <c r="G6" s="3">
        <v>482.13</v>
      </c>
      <c r="H6" s="3">
        <v>485.87299999999999</v>
      </c>
    </row>
    <row r="7" spans="1:11" x14ac:dyDescent="0.25">
      <c r="B7" s="8" t="s">
        <v>32</v>
      </c>
      <c r="C7" s="24">
        <f>334.993-8.106</f>
        <v>326.887</v>
      </c>
      <c r="D7" s="24">
        <f>352.297-8.478</f>
        <v>343.81900000000002</v>
      </c>
      <c r="E7" s="24">
        <f>358.069-8.87</f>
        <v>349.19900000000001</v>
      </c>
      <c r="F7" s="24">
        <f>365.086-9.173</f>
        <v>355.91300000000001</v>
      </c>
      <c r="G7" s="24">
        <f>360.984-9.454</f>
        <v>351.53</v>
      </c>
      <c r="H7" s="24">
        <f>361.256-H10</f>
        <v>351.17599999999999</v>
      </c>
    </row>
    <row r="8" spans="1:11" x14ac:dyDescent="0.25">
      <c r="B8" s="9" t="s">
        <v>2</v>
      </c>
      <c r="C8" s="25">
        <f t="shared" ref="C8:H8" si="0">C6-C7</f>
        <v>119.62200000000001</v>
      </c>
      <c r="D8" s="25">
        <f t="shared" si="0"/>
        <v>124.83199999999999</v>
      </c>
      <c r="E8" s="25">
        <f t="shared" si="0"/>
        <v>127.09499999999997</v>
      </c>
      <c r="F8" s="25">
        <f t="shared" si="0"/>
        <v>129.738</v>
      </c>
      <c r="G8" s="25">
        <f t="shared" si="0"/>
        <v>130.60000000000002</v>
      </c>
      <c r="H8" s="25">
        <f t="shared" si="0"/>
        <v>134.697</v>
      </c>
      <c r="K8" t="s">
        <v>18</v>
      </c>
    </row>
    <row r="9" spans="1:11" x14ac:dyDescent="0.25">
      <c r="B9" s="7" t="s">
        <v>3</v>
      </c>
      <c r="C9" s="23">
        <f>85.025</f>
        <v>85.025000000000006</v>
      </c>
      <c r="D9" s="23">
        <f>88.629</f>
        <v>88.629000000000005</v>
      </c>
      <c r="E9" s="23">
        <v>91.352999999999994</v>
      </c>
      <c r="F9" s="23">
        <v>93.418000000000006</v>
      </c>
      <c r="G9" s="3">
        <f>97.041</f>
        <v>97.040999999999997</v>
      </c>
      <c r="H9" s="3">
        <f>101.853</f>
        <v>101.85299999999999</v>
      </c>
    </row>
    <row r="10" spans="1:11" x14ac:dyDescent="0.25">
      <c r="B10" s="8" t="s">
        <v>33</v>
      </c>
      <c r="C10" s="24">
        <f>8.106</f>
        <v>8.1059999999999999</v>
      </c>
      <c r="D10" s="24">
        <f>8.478</f>
        <v>8.4779999999999998</v>
      </c>
      <c r="E10" s="24">
        <v>8.8699999999999992</v>
      </c>
      <c r="F10" s="24">
        <v>9.173</v>
      </c>
      <c r="G10" s="24">
        <v>9.4540000000000006</v>
      </c>
      <c r="H10" s="38">
        <v>10.08</v>
      </c>
    </row>
    <row r="11" spans="1:11" x14ac:dyDescent="0.25">
      <c r="B11" s="9" t="s">
        <v>4</v>
      </c>
      <c r="C11" s="25">
        <f t="shared" ref="C11:H11" si="1">C8-C9-C10</f>
        <v>26.491000000000007</v>
      </c>
      <c r="D11" s="25">
        <f t="shared" si="1"/>
        <v>27.724999999999987</v>
      </c>
      <c r="E11" s="25">
        <f t="shared" si="1"/>
        <v>26.871999999999979</v>
      </c>
      <c r="F11" s="25">
        <f t="shared" si="1"/>
        <v>27.146999999999991</v>
      </c>
      <c r="G11" s="25">
        <f t="shared" si="1"/>
        <v>24.105000000000025</v>
      </c>
      <c r="H11" s="25">
        <f t="shared" si="1"/>
        <v>22.76400000000001</v>
      </c>
    </row>
    <row r="12" spans="1:11" x14ac:dyDescent="0.25">
      <c r="B12" s="8" t="s">
        <v>34</v>
      </c>
      <c r="C12" s="24">
        <f>2.159</f>
        <v>2.1589999999999998</v>
      </c>
      <c r="D12" s="24">
        <f>2.063</f>
        <v>2.0630000000000002</v>
      </c>
      <c r="E12" s="24">
        <v>2.2160000000000002</v>
      </c>
      <c r="F12" s="24">
        <v>2.3479999999999999</v>
      </c>
      <c r="G12" s="24">
        <f>2.467</f>
        <v>2.4670000000000001</v>
      </c>
      <c r="H12" s="24">
        <f>2.267</f>
        <v>2.2669999999999999</v>
      </c>
    </row>
    <row r="13" spans="1:11" x14ac:dyDescent="0.25">
      <c r="B13" s="9" t="s">
        <v>5</v>
      </c>
      <c r="C13" s="25">
        <f t="shared" ref="C13:H13" si="2">C11-C12</f>
        <v>24.332000000000008</v>
      </c>
      <c r="D13" s="25">
        <f t="shared" si="2"/>
        <v>25.661999999999988</v>
      </c>
      <c r="E13" s="25">
        <f t="shared" si="2"/>
        <v>24.655999999999977</v>
      </c>
      <c r="F13" s="25">
        <f t="shared" si="2"/>
        <v>24.798999999999992</v>
      </c>
      <c r="G13" s="25">
        <f t="shared" si="2"/>
        <v>21.638000000000027</v>
      </c>
      <c r="H13" s="25">
        <f t="shared" si="2"/>
        <v>20.497000000000011</v>
      </c>
    </row>
    <row r="14" spans="1:11" x14ac:dyDescent="0.25">
      <c r="B14" s="8" t="s">
        <v>6</v>
      </c>
      <c r="C14" s="26">
        <f>7.924</f>
        <v>7.9240000000000004</v>
      </c>
      <c r="D14" s="26">
        <f>7.958</f>
        <v>7.9580000000000002</v>
      </c>
      <c r="E14" s="26">
        <v>8.1050000000000004</v>
      </c>
      <c r="F14" s="26">
        <v>7.9850000000000003</v>
      </c>
      <c r="G14" s="24">
        <f>6.558</f>
        <v>6.5579999999999998</v>
      </c>
      <c r="H14" s="24">
        <v>6.2039999999999997</v>
      </c>
    </row>
    <row r="15" spans="1:11" x14ac:dyDescent="0.25">
      <c r="B15" s="9" t="s">
        <v>37</v>
      </c>
      <c r="C15" s="29">
        <f t="shared" ref="C15:H15" si="3">C13-C14</f>
        <v>16.408000000000008</v>
      </c>
      <c r="D15" s="29">
        <f t="shared" si="3"/>
        <v>17.703999999999986</v>
      </c>
      <c r="E15" s="29">
        <f t="shared" si="3"/>
        <v>16.550999999999977</v>
      </c>
      <c r="F15" s="29">
        <f t="shared" si="3"/>
        <v>16.813999999999993</v>
      </c>
      <c r="G15" s="29">
        <f t="shared" si="3"/>
        <v>15.080000000000027</v>
      </c>
      <c r="H15" s="29">
        <f t="shared" si="3"/>
        <v>14.29300000000001</v>
      </c>
    </row>
    <row r="16" spans="1:11" x14ac:dyDescent="0.25">
      <c r="B16" s="31" t="s">
        <v>40</v>
      </c>
      <c r="C16" s="33">
        <v>-2.1000000000000001E-2</v>
      </c>
      <c r="D16" s="33">
        <v>5.1999999999999998E-2</v>
      </c>
      <c r="E16" s="33">
        <v>0.14399999999999999</v>
      </c>
      <c r="F16" s="33">
        <v>0.28499999999999998</v>
      </c>
      <c r="G16" s="33">
        <v>0</v>
      </c>
      <c r="H16" s="33">
        <v>0</v>
      </c>
    </row>
    <row r="17" spans="2:8" x14ac:dyDescent="0.25">
      <c r="B17" s="9" t="s">
        <v>38</v>
      </c>
      <c r="C17" s="29">
        <f t="shared" ref="C17:H17" si="4">C15+C16</f>
        <v>16.387000000000008</v>
      </c>
      <c r="D17" s="29">
        <f t="shared" si="4"/>
        <v>17.755999999999986</v>
      </c>
      <c r="E17" s="29">
        <f t="shared" si="4"/>
        <v>16.694999999999975</v>
      </c>
      <c r="F17" s="29">
        <f t="shared" si="4"/>
        <v>17.098999999999993</v>
      </c>
      <c r="G17" s="29">
        <f t="shared" si="4"/>
        <v>15.080000000000027</v>
      </c>
      <c r="H17" s="29">
        <f t="shared" si="4"/>
        <v>14.29300000000001</v>
      </c>
    </row>
    <row r="18" spans="2:8" x14ac:dyDescent="0.25">
      <c r="B18" s="32" t="s">
        <v>42</v>
      </c>
      <c r="C18" s="30">
        <v>0.68799999999999994</v>
      </c>
      <c r="D18" s="30">
        <v>0.75700000000000001</v>
      </c>
      <c r="E18" s="30">
        <v>0.67300000000000004</v>
      </c>
      <c r="F18" s="30">
        <v>0.73599999999999999</v>
      </c>
      <c r="G18" s="30">
        <v>0.38600000000000001</v>
      </c>
      <c r="H18" s="30">
        <v>0.65</v>
      </c>
    </row>
    <row r="19" spans="2:8" ht="15.75" thickBot="1" x14ac:dyDescent="0.3">
      <c r="B19" s="10" t="s">
        <v>41</v>
      </c>
      <c r="C19" s="5">
        <f t="shared" ref="C19:H19" si="5">C17-C18</f>
        <v>15.699000000000007</v>
      </c>
      <c r="D19" s="5">
        <f t="shared" si="5"/>
        <v>16.998999999999985</v>
      </c>
      <c r="E19" s="5">
        <f t="shared" si="5"/>
        <v>16.021999999999977</v>
      </c>
      <c r="F19" s="5">
        <f t="shared" si="5"/>
        <v>16.362999999999992</v>
      </c>
      <c r="G19" s="5">
        <f t="shared" si="5"/>
        <v>14.694000000000027</v>
      </c>
      <c r="H19" s="5">
        <f t="shared" si="5"/>
        <v>13.64300000000001</v>
      </c>
    </row>
    <row r="20" spans="2:8" ht="15.75" thickTop="1" x14ac:dyDescent="0.25"/>
    <row r="21" spans="2:8" x14ac:dyDescent="0.25">
      <c r="B21" s="6" t="s">
        <v>12</v>
      </c>
      <c r="C21" s="4" t="str">
        <f t="shared" ref="C21:H21" si="6">C5</f>
        <v>2012A</v>
      </c>
      <c r="D21" s="4" t="str">
        <f t="shared" si="6"/>
        <v>2013A</v>
      </c>
      <c r="E21" s="4" t="str">
        <f t="shared" si="6"/>
        <v>2014A</v>
      </c>
      <c r="F21" s="4" t="str">
        <f t="shared" si="6"/>
        <v>2015A</v>
      </c>
      <c r="G21" s="4" t="str">
        <f t="shared" si="6"/>
        <v>2016A</v>
      </c>
      <c r="H21" s="4" t="str">
        <f t="shared" si="6"/>
        <v>2017A</v>
      </c>
    </row>
    <row r="22" spans="2:8" x14ac:dyDescent="0.25">
      <c r="B22" s="7" t="s">
        <v>9</v>
      </c>
      <c r="C22" s="23">
        <f>6.55</f>
        <v>6.55</v>
      </c>
      <c r="D22" s="23">
        <f>7.781</f>
        <v>7.7809999999999997</v>
      </c>
      <c r="E22" s="23">
        <f>7.281</f>
        <v>7.2809999999999997</v>
      </c>
      <c r="F22" s="23">
        <v>9.1349999999999998</v>
      </c>
      <c r="G22" s="3">
        <v>8.7050000000000001</v>
      </c>
      <c r="H22" s="3">
        <v>6.867</v>
      </c>
    </row>
    <row r="23" spans="2:8" x14ac:dyDescent="0.25">
      <c r="B23" s="7" t="s">
        <v>8</v>
      </c>
      <c r="C23" s="23">
        <f>5.937</f>
        <v>5.9370000000000003</v>
      </c>
      <c r="D23" s="23">
        <f>6.768</f>
        <v>6.7679999999999998</v>
      </c>
      <c r="E23" s="23">
        <f>6.677</f>
        <v>6.6769999999999996</v>
      </c>
      <c r="F23" s="23">
        <f>6.778</f>
        <v>6.7779999999999996</v>
      </c>
      <c r="G23" s="3">
        <v>5.6239999999999997</v>
      </c>
      <c r="H23" s="3">
        <v>5.835</v>
      </c>
    </row>
    <row r="24" spans="2:8" x14ac:dyDescent="0.25">
      <c r="B24" s="7" t="s">
        <v>7</v>
      </c>
      <c r="C24" s="23">
        <f>40.714</f>
        <v>40.713999999999999</v>
      </c>
      <c r="D24" s="23">
        <f>43.803</f>
        <v>43.802999999999997</v>
      </c>
      <c r="E24" s="23">
        <f>44.858</f>
        <v>44.857999999999997</v>
      </c>
      <c r="F24" s="23">
        <v>45.140999999999998</v>
      </c>
      <c r="G24" s="3">
        <v>44.469000000000001</v>
      </c>
      <c r="H24" s="3">
        <v>43.045999999999999</v>
      </c>
    </row>
    <row r="25" spans="2:8" x14ac:dyDescent="0.25">
      <c r="B25" s="7" t="s">
        <v>43</v>
      </c>
      <c r="C25" s="23">
        <v>1.6850000000000001</v>
      </c>
      <c r="D25" s="23">
        <v>1.5509999999999999</v>
      </c>
      <c r="E25" s="23">
        <v>1.909</v>
      </c>
      <c r="F25" s="23">
        <v>2.2240000000000002</v>
      </c>
      <c r="G25" s="3">
        <v>1.4410000000000001</v>
      </c>
      <c r="H25" s="3">
        <v>1.9410000000000001</v>
      </c>
    </row>
    <row r="26" spans="2:8" x14ac:dyDescent="0.25">
      <c r="B26" s="8" t="s">
        <v>44</v>
      </c>
      <c r="C26" s="24">
        <v>8.8999999999999996E-2</v>
      </c>
      <c r="D26" s="24">
        <v>3.6999999999999998E-2</v>
      </c>
      <c r="E26" s="24">
        <v>0.46</v>
      </c>
      <c r="F26" s="24">
        <v>0</v>
      </c>
      <c r="G26" s="24">
        <v>0</v>
      </c>
      <c r="H26" s="24">
        <v>0</v>
      </c>
    </row>
    <row r="27" spans="2:8" x14ac:dyDescent="0.25">
      <c r="B27" s="9" t="s">
        <v>23</v>
      </c>
      <c r="C27" s="12">
        <f t="shared" ref="C27:H27" si="7">SUM(C22:C26)</f>
        <v>54.975000000000001</v>
      </c>
      <c r="D27" s="12">
        <f t="shared" si="7"/>
        <v>59.94</v>
      </c>
      <c r="E27" s="12">
        <f t="shared" si="7"/>
        <v>61.184999999999995</v>
      </c>
      <c r="F27" s="12">
        <f t="shared" si="7"/>
        <v>63.278000000000006</v>
      </c>
      <c r="G27" s="12">
        <f t="shared" si="7"/>
        <v>60.239000000000004</v>
      </c>
      <c r="H27" s="12">
        <f t="shared" si="7"/>
        <v>57.689</v>
      </c>
    </row>
    <row r="28" spans="2:8" x14ac:dyDescent="0.25">
      <c r="B28" s="7"/>
      <c r="C28" s="23"/>
      <c r="D28" s="23"/>
      <c r="E28" s="23"/>
      <c r="F28" s="23"/>
      <c r="G28" s="15"/>
      <c r="H28" s="15"/>
    </row>
    <row r="29" spans="2:8" x14ac:dyDescent="0.25">
      <c r="B29" s="7" t="s">
        <v>10</v>
      </c>
      <c r="C29" s="23">
        <f>109.603+2.721</f>
        <v>112.324</v>
      </c>
      <c r="D29" s="23">
        <f>113.929+2.752</f>
        <v>116.681</v>
      </c>
      <c r="E29" s="23">
        <f>115.364+2.543</f>
        <v>117.90700000000001</v>
      </c>
      <c r="F29" s="23">
        <f>114.28+2.375</f>
        <v>116.655</v>
      </c>
      <c r="G29" s="3">
        <f>110.171+6.345</f>
        <v>116.51600000000001</v>
      </c>
      <c r="H29" s="3">
        <f>107.71+6.468</f>
        <v>114.178</v>
      </c>
    </row>
    <row r="30" spans="2:8" x14ac:dyDescent="0.25">
      <c r="B30" s="7" t="s">
        <v>45</v>
      </c>
      <c r="C30" s="23">
        <f>20.651</f>
        <v>20.651</v>
      </c>
      <c r="D30" s="23">
        <f>20.497</f>
        <v>20.497</v>
      </c>
      <c r="E30" s="23">
        <f>19.51</f>
        <v>19.510000000000002</v>
      </c>
      <c r="F30" s="23">
        <f>18.102</f>
        <v>18.102</v>
      </c>
      <c r="G30" s="3">
        <f>16.695</f>
        <v>16.695</v>
      </c>
      <c r="H30" s="3">
        <v>17.036999999999999</v>
      </c>
    </row>
    <row r="31" spans="2:8" x14ac:dyDescent="0.25">
      <c r="B31" s="7" t="s">
        <v>22</v>
      </c>
      <c r="C31" s="23">
        <f>5.456</f>
        <v>5.4560000000000004</v>
      </c>
      <c r="D31" s="23">
        <f>5.987</f>
        <v>5.9870000000000001</v>
      </c>
      <c r="E31" s="23">
        <f>6.149</f>
        <v>6.149</v>
      </c>
      <c r="F31" s="23">
        <f>5.455</f>
        <v>5.4550000000000001</v>
      </c>
      <c r="G31" s="3">
        <f>6.131</f>
        <v>6.1310000000000002</v>
      </c>
      <c r="H31" s="3">
        <v>9.9209999999999994</v>
      </c>
    </row>
    <row r="32" spans="2:8" ht="15.75" thickBot="1" x14ac:dyDescent="0.3">
      <c r="B32" s="10" t="s">
        <v>11</v>
      </c>
      <c r="C32" s="5">
        <f t="shared" ref="C32:H32" si="8">C27+C29+C31+C30</f>
        <v>193.40600000000001</v>
      </c>
      <c r="D32" s="5">
        <f t="shared" si="8"/>
        <v>203.10499999999996</v>
      </c>
      <c r="E32" s="5">
        <f t="shared" si="8"/>
        <v>204.751</v>
      </c>
      <c r="F32" s="5">
        <f t="shared" si="8"/>
        <v>203.49</v>
      </c>
      <c r="G32" s="5">
        <f t="shared" si="8"/>
        <v>199.58099999999999</v>
      </c>
      <c r="H32" s="5">
        <f t="shared" si="8"/>
        <v>198.82499999999999</v>
      </c>
    </row>
    <row r="33" spans="2:8" ht="15.75" thickTop="1" x14ac:dyDescent="0.25"/>
    <row r="34" spans="2:8" x14ac:dyDescent="0.25">
      <c r="B34" s="6" t="s">
        <v>20</v>
      </c>
      <c r="C34" s="4" t="str">
        <f t="shared" ref="C34:H34" si="9">C21</f>
        <v>2012A</v>
      </c>
      <c r="D34" s="4" t="str">
        <f t="shared" si="9"/>
        <v>2013A</v>
      </c>
      <c r="E34" s="4" t="str">
        <f t="shared" si="9"/>
        <v>2014A</v>
      </c>
      <c r="F34" s="4" t="str">
        <f t="shared" si="9"/>
        <v>2015A</v>
      </c>
      <c r="G34" s="4" t="str">
        <f t="shared" si="9"/>
        <v>2016A</v>
      </c>
      <c r="H34" s="4" t="str">
        <f t="shared" si="9"/>
        <v>2017A</v>
      </c>
    </row>
    <row r="35" spans="2:8" x14ac:dyDescent="0.25">
      <c r="B35" s="7" t="s">
        <v>13</v>
      </c>
      <c r="C35" s="23">
        <f>4.047+1.975+0.326</f>
        <v>6.3479999999999999</v>
      </c>
      <c r="D35" s="23">
        <f>6.805+5.587+0.327</f>
        <v>12.718999999999999</v>
      </c>
      <c r="E35" s="23">
        <f>7.67+4.103+0.309</f>
        <v>12.081999999999999</v>
      </c>
      <c r="F35" s="23">
        <f>1.592+4.791+0.287</f>
        <v>6.6700000000000008</v>
      </c>
      <c r="G35" s="3">
        <f>2.708+2.745+0.551</f>
        <v>6.0040000000000004</v>
      </c>
      <c r="H35" s="3">
        <f>1.099+2.256+0.565</f>
        <v>3.9199999999999995</v>
      </c>
    </row>
    <row r="36" spans="2:8" x14ac:dyDescent="0.25">
      <c r="B36" s="7" t="s">
        <v>14</v>
      </c>
      <c r="C36" s="23">
        <f>36.608</f>
        <v>36.607999999999997</v>
      </c>
      <c r="D36" s="23">
        <f>38.08</f>
        <v>38.08</v>
      </c>
      <c r="E36" s="23">
        <f>37.415</f>
        <v>37.414999999999999</v>
      </c>
      <c r="F36" s="23">
        <v>38.409999999999997</v>
      </c>
      <c r="G36" s="3">
        <v>38.487000000000002</v>
      </c>
      <c r="H36" s="3">
        <v>41.433</v>
      </c>
    </row>
    <row r="37" spans="2:8" x14ac:dyDescent="0.25">
      <c r="B37" s="8" t="s">
        <v>26</v>
      </c>
      <c r="C37" s="24">
        <f>18.154+1.164+0.026</f>
        <v>19.344000000000001</v>
      </c>
      <c r="D37" s="24">
        <f>18.808+2.211</f>
        <v>21.018999999999998</v>
      </c>
      <c r="E37" s="24">
        <f>18.793+0.966+0.089</f>
        <v>19.847999999999999</v>
      </c>
      <c r="F37" s="24">
        <f>19.152+1.021</f>
        <v>20.173000000000002</v>
      </c>
      <c r="G37" s="24">
        <f>19.607+0.521</f>
        <v>20.128</v>
      </c>
      <c r="H37" s="24">
        <f>20.654+0.921</f>
        <v>21.574999999999999</v>
      </c>
    </row>
    <row r="38" spans="2:8" x14ac:dyDescent="0.25">
      <c r="B38" s="9" t="s">
        <v>27</v>
      </c>
      <c r="C38" s="25">
        <f t="shared" ref="C38:H38" si="10">SUM(C35:C37)</f>
        <v>62.3</v>
      </c>
      <c r="D38" s="25">
        <f t="shared" si="10"/>
        <v>71.817999999999998</v>
      </c>
      <c r="E38" s="25">
        <f t="shared" si="10"/>
        <v>69.344999999999999</v>
      </c>
      <c r="F38" s="25">
        <f t="shared" si="10"/>
        <v>65.253</v>
      </c>
      <c r="G38" s="25">
        <f>SUM(G35:G37)</f>
        <v>64.619</v>
      </c>
      <c r="H38" s="25">
        <f t="shared" si="10"/>
        <v>66.927999999999997</v>
      </c>
    </row>
    <row r="39" spans="2:8" x14ac:dyDescent="0.25">
      <c r="B39" s="9"/>
      <c r="C39" s="17"/>
      <c r="D39" s="17"/>
      <c r="E39" s="17"/>
      <c r="F39" s="17"/>
      <c r="G39" s="17"/>
      <c r="H39" s="17"/>
    </row>
    <row r="40" spans="2:8" x14ac:dyDescent="0.25">
      <c r="B40" s="7" t="s">
        <v>15</v>
      </c>
      <c r="C40" s="23">
        <f>44.07+3.009</f>
        <v>47.079000000000001</v>
      </c>
      <c r="D40" s="23">
        <f>38.394+3.023</f>
        <v>41.417000000000002</v>
      </c>
      <c r="E40" s="23">
        <f>41.771+2.788</f>
        <v>44.558999999999997</v>
      </c>
      <c r="F40" s="23">
        <f>40.889+2.606</f>
        <v>43.495000000000005</v>
      </c>
      <c r="G40" s="3">
        <f>38.214+5.816</f>
        <v>44.03</v>
      </c>
      <c r="H40" s="3">
        <f>36.015+6.003</f>
        <v>42.018000000000001</v>
      </c>
    </row>
    <row r="41" spans="2:8" x14ac:dyDescent="0.25">
      <c r="B41" s="7" t="s">
        <v>30</v>
      </c>
      <c r="C41" s="23">
        <f>7.862+0.404</f>
        <v>8.266</v>
      </c>
      <c r="D41" s="23">
        <f>7.613+0.519</f>
        <v>8.1319999999999997</v>
      </c>
      <c r="E41" s="23">
        <f>8.017+1.491</f>
        <v>9.5079999999999991</v>
      </c>
      <c r="F41" s="23">
        <f>8.805</f>
        <v>8.8049999999999997</v>
      </c>
      <c r="G41" s="3">
        <f>7.321</f>
        <v>7.3209999999999997</v>
      </c>
      <c r="H41" s="3">
        <v>9.3439999999999994</v>
      </c>
    </row>
    <row r="42" spans="2:8" x14ac:dyDescent="0.25">
      <c r="B42" s="7"/>
      <c r="C42" s="23"/>
      <c r="D42" s="23"/>
      <c r="E42" s="23"/>
      <c r="F42" s="23"/>
      <c r="G42" s="3"/>
      <c r="H42" s="3"/>
    </row>
    <row r="43" spans="2:8" x14ac:dyDescent="0.25">
      <c r="B43" s="7" t="s">
        <v>39</v>
      </c>
      <c r="C43" s="23">
        <v>4.4459999999999997</v>
      </c>
      <c r="D43" s="23">
        <v>5.3949999999999996</v>
      </c>
      <c r="E43" s="23">
        <v>5.0839999999999996</v>
      </c>
      <c r="F43" s="23">
        <v>4.5430000000000001</v>
      </c>
      <c r="G43" s="3">
        <v>3.0649999999999999</v>
      </c>
      <c r="H43" s="3">
        <v>2.7370000000000001</v>
      </c>
    </row>
    <row r="44" spans="2:8" x14ac:dyDescent="0.25">
      <c r="B44" s="7" t="s">
        <v>16</v>
      </c>
      <c r="C44" s="23">
        <v>71.314999999999998</v>
      </c>
      <c r="D44" s="23">
        <f>76.343</f>
        <v>76.343000000000004</v>
      </c>
      <c r="E44" s="23">
        <v>76.254999999999995</v>
      </c>
      <c r="F44" s="23">
        <v>81.394000000000005</v>
      </c>
      <c r="G44" s="3">
        <v>80.546000000000006</v>
      </c>
      <c r="H44" s="3">
        <v>77.798000000000002</v>
      </c>
    </row>
    <row r="45" spans="2:8" ht="15.75" thickBot="1" x14ac:dyDescent="0.3">
      <c r="B45" s="10" t="s">
        <v>19</v>
      </c>
      <c r="C45" s="5">
        <f t="shared" ref="C45:H45" si="11">C44+C40+C41+C38+C43</f>
        <v>193.40600000000001</v>
      </c>
      <c r="D45" s="5">
        <f t="shared" si="11"/>
        <v>203.10500000000002</v>
      </c>
      <c r="E45" s="5">
        <f t="shared" si="11"/>
        <v>204.751</v>
      </c>
      <c r="F45" s="5">
        <f t="shared" si="11"/>
        <v>203.49</v>
      </c>
      <c r="G45" s="5">
        <f t="shared" si="11"/>
        <v>199.58100000000002</v>
      </c>
      <c r="H45" s="5">
        <f t="shared" si="11"/>
        <v>198.82499999999999</v>
      </c>
    </row>
    <row r="46" spans="2:8" ht="15.75" thickTop="1" x14ac:dyDescent="0.25">
      <c r="B46" s="14" t="s">
        <v>21</v>
      </c>
      <c r="C46" s="2" t="b">
        <f t="shared" ref="C46:H46" si="12">C45=C32</f>
        <v>1</v>
      </c>
      <c r="D46" s="2" t="b">
        <f t="shared" si="12"/>
        <v>1</v>
      </c>
      <c r="E46" s="2" t="b">
        <f t="shared" si="12"/>
        <v>1</v>
      </c>
      <c r="F46" s="2" t="b">
        <f t="shared" si="12"/>
        <v>1</v>
      </c>
      <c r="G46" s="2" t="b">
        <f t="shared" si="12"/>
        <v>1</v>
      </c>
      <c r="H46" s="2" t="b">
        <f t="shared" si="12"/>
        <v>1</v>
      </c>
    </row>
    <row r="47" spans="2:8" x14ac:dyDescent="0.25"/>
    <row r="67" spans="2:8" hidden="1" x14ac:dyDescent="0.25">
      <c r="B67" s="13"/>
      <c r="C67" s="16"/>
      <c r="D67" s="16"/>
      <c r="E67" s="16"/>
      <c r="F67" s="16"/>
      <c r="G67" s="20"/>
      <c r="H67" s="20"/>
    </row>
  </sheetData>
  <pageMargins left="0.7" right="0.7" top="0.75" bottom="0.75" header="0.3" footer="0.3"/>
  <pageSetup paperSize="9" orientation="portrait" r:id="rId1"/>
  <ignoredErrors>
    <ignoredError sqref="G14 C14:F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"/>
  <sheetViews>
    <sheetView showGridLines="0" topLeftCell="A13" zoomScale="120" zoomScaleNormal="120" workbookViewId="0">
      <selection activeCell="J25" sqref="J25:K25"/>
    </sheetView>
  </sheetViews>
  <sheetFormatPr defaultColWidth="0" defaultRowHeight="15" zeroHeight="1" x14ac:dyDescent="0.25"/>
  <cols>
    <col min="1" max="1" width="1.42578125" style="49" customWidth="1"/>
    <col min="2" max="2" width="50" style="49" customWidth="1"/>
    <col min="3" max="3" width="9.140625" style="50" customWidth="1"/>
    <col min="4" max="13" width="9.140625" style="49" customWidth="1"/>
    <col min="14" max="14" width="4.140625" style="49" customWidth="1"/>
    <col min="15" max="16384" width="9.140625" style="49" hidden="1"/>
  </cols>
  <sheetData>
    <row r="1" spans="1:13" x14ac:dyDescent="0.25">
      <c r="A1" s="48" t="s">
        <v>46</v>
      </c>
    </row>
    <row r="2" spans="1:13" x14ac:dyDescent="0.25">
      <c r="A2" s="49" t="s">
        <v>67</v>
      </c>
    </row>
    <row r="3" spans="1:13" ht="15.75" thickBot="1" x14ac:dyDescent="0.3">
      <c r="A3" s="27" t="s">
        <v>101</v>
      </c>
    </row>
    <row r="4" spans="1:13" ht="15.75" thickBot="1" x14ac:dyDescent="0.3">
      <c r="D4" s="212" t="s">
        <v>54</v>
      </c>
      <c r="E4" s="213"/>
      <c r="F4" s="213"/>
      <c r="G4" s="213"/>
      <c r="H4" s="214"/>
      <c r="I4" s="212" t="s">
        <v>53</v>
      </c>
      <c r="J4" s="213"/>
      <c r="K4" s="213"/>
      <c r="L4" s="213"/>
      <c r="M4" s="214"/>
    </row>
    <row r="5" spans="1:13" x14ac:dyDescent="0.25">
      <c r="B5" s="51" t="s">
        <v>55</v>
      </c>
      <c r="C5" s="52" t="s">
        <v>88</v>
      </c>
      <c r="D5" s="73" t="s">
        <v>28</v>
      </c>
      <c r="E5" s="74" t="s">
        <v>25</v>
      </c>
      <c r="F5" s="74" t="s">
        <v>17</v>
      </c>
      <c r="G5" s="74" t="s">
        <v>24</v>
      </c>
      <c r="H5" s="75" t="s">
        <v>35</v>
      </c>
      <c r="I5" s="54" t="s">
        <v>48</v>
      </c>
      <c r="J5" s="54" t="s">
        <v>49</v>
      </c>
      <c r="K5" s="54" t="s">
        <v>50</v>
      </c>
      <c r="L5" s="54" t="s">
        <v>51</v>
      </c>
      <c r="M5" s="54" t="s">
        <v>52</v>
      </c>
    </row>
    <row r="6" spans="1:13" x14ac:dyDescent="0.25">
      <c r="B6" s="55" t="s">
        <v>56</v>
      </c>
      <c r="C6" s="56" t="s">
        <v>89</v>
      </c>
      <c r="D6" s="76">
        <f>'Historical IS and BS'!D6/'Historical IS and BS'!C6-1</f>
        <v>4.9589146019453079E-2</v>
      </c>
      <c r="E6" s="77">
        <f>'Historical IS and BS'!E6/'Historical IS and BS'!D6-1</f>
        <v>1.6308511024194949E-2</v>
      </c>
      <c r="F6" s="77">
        <f>'Historical IS and BS'!F6/'Historical IS and BS'!E6-1</f>
        <v>1.9645429083717358E-2</v>
      </c>
      <c r="G6" s="77">
        <f>'Historical IS and BS'!G6/'Historical IS and BS'!F6-1</f>
        <v>-7.2500622875274479E-3</v>
      </c>
      <c r="H6" s="78">
        <f>'Historical IS and BS'!H6/'Historical IS and BS'!G6-1</f>
        <v>7.7634662850267766E-3</v>
      </c>
      <c r="I6" s="57">
        <f>H6+0.2%</f>
        <v>9.7634662850267766E-3</v>
      </c>
      <c r="J6" s="57">
        <f t="shared" ref="J6:M6" si="0">I6+0.2%</f>
        <v>1.1763466285026777E-2</v>
      </c>
      <c r="K6" s="57">
        <f t="shared" si="0"/>
        <v>1.3763466285026777E-2</v>
      </c>
      <c r="L6" s="57">
        <f t="shared" si="0"/>
        <v>1.5763466285026777E-2</v>
      </c>
      <c r="M6" s="57">
        <f t="shared" si="0"/>
        <v>1.7763466285026779E-2</v>
      </c>
    </row>
    <row r="7" spans="1:13" x14ac:dyDescent="0.25">
      <c r="B7" s="55" t="s">
        <v>57</v>
      </c>
      <c r="C7" s="58" t="s">
        <v>89</v>
      </c>
      <c r="D7" s="76">
        <f>'Historical IS and BS'!D7/'Historical IS and BS'!D6</f>
        <v>0.73363547714610666</v>
      </c>
      <c r="E7" s="77">
        <f>'Historical IS and BS'!E7/'Historical IS and BS'!E6</f>
        <v>0.73315851133963483</v>
      </c>
      <c r="F7" s="77">
        <f>'Historical IS and BS'!F7/'Historical IS and BS'!F6</f>
        <v>0.73285754585082707</v>
      </c>
      <c r="G7" s="77">
        <f>'Historical IS and BS'!G7/'Historical IS and BS'!G6</f>
        <v>0.72911870242465715</v>
      </c>
      <c r="H7" s="78">
        <f>'Historical IS and BS'!H7/'Historical IS and BS'!H6</f>
        <v>0.72277323498115764</v>
      </c>
      <c r="I7" s="59">
        <f>H7-0.2%</f>
        <v>0.72077323498115764</v>
      </c>
      <c r="J7" s="59">
        <f t="shared" ref="J7:M7" si="1">I7-0.2%</f>
        <v>0.71877323498115764</v>
      </c>
      <c r="K7" s="59">
        <f t="shared" si="1"/>
        <v>0.71677323498115764</v>
      </c>
      <c r="L7" s="59">
        <f t="shared" si="1"/>
        <v>0.71477323498115763</v>
      </c>
      <c r="M7" s="59">
        <f t="shared" si="1"/>
        <v>0.71277323498115763</v>
      </c>
    </row>
    <row r="8" spans="1:13" x14ac:dyDescent="0.25">
      <c r="B8" s="55" t="s">
        <v>58</v>
      </c>
      <c r="C8" s="58" t="s">
        <v>89</v>
      </c>
      <c r="D8" s="76">
        <f>'Historical IS and BS'!D9/'Historical IS and BS'!D6</f>
        <v>0.18911514111780409</v>
      </c>
      <c r="E8" s="77">
        <f>'Historical IS and BS'!E9/'Historical IS and BS'!E6</f>
        <v>0.1917996027663586</v>
      </c>
      <c r="F8" s="77">
        <f>'Historical IS and BS'!F9/'Historical IS and BS'!F6</f>
        <v>0.19235623935706919</v>
      </c>
      <c r="G8" s="77">
        <f>'Historical IS and BS'!G9/'Historical IS and BS'!G6</f>
        <v>0.20127558957127745</v>
      </c>
      <c r="H8" s="78">
        <f>'Historical IS and BS'!H9/'Historical IS and BS'!H6</f>
        <v>0.20962885363047545</v>
      </c>
      <c r="I8" s="57">
        <f>H8+0.4%</f>
        <v>0.21362885363047546</v>
      </c>
      <c r="J8" s="57">
        <f t="shared" ref="J8:M8" si="2">I8+0.4%</f>
        <v>0.21762885363047546</v>
      </c>
      <c r="K8" s="57">
        <f t="shared" si="2"/>
        <v>0.22162885363047546</v>
      </c>
      <c r="L8" s="57">
        <f t="shared" si="2"/>
        <v>0.22562885363047547</v>
      </c>
      <c r="M8" s="57">
        <f t="shared" si="2"/>
        <v>0.22962885363047547</v>
      </c>
    </row>
    <row r="9" spans="1:13" x14ac:dyDescent="0.25">
      <c r="B9" s="55" t="s">
        <v>59</v>
      </c>
      <c r="C9" s="56" t="s">
        <v>89</v>
      </c>
      <c r="D9" s="76">
        <f>'Historical IS and BS'!D10/'Historical IS and BS'!C29</f>
        <v>7.547808126491222E-2</v>
      </c>
      <c r="E9" s="77">
        <f>'Historical IS and BS'!E10/'Historical IS and BS'!D29</f>
        <v>7.6019231922935179E-2</v>
      </c>
      <c r="F9" s="77">
        <f>'Historical IS and BS'!F10/'Historical IS and BS'!E29</f>
        <v>7.7798603984496242E-2</v>
      </c>
      <c r="G9" s="77">
        <f>'Historical IS and BS'!G10/'Historical IS and BS'!F29</f>
        <v>8.1042389953281044E-2</v>
      </c>
      <c r="H9" s="78">
        <f>'Historical IS and BS'!H10/'Historical IS and BS'!G29</f>
        <v>8.651172371176491E-2</v>
      </c>
      <c r="I9" s="57">
        <f>H9</f>
        <v>8.651172371176491E-2</v>
      </c>
      <c r="J9" s="57">
        <f t="shared" ref="J9:M9" si="3">I9</f>
        <v>8.651172371176491E-2</v>
      </c>
      <c r="K9" s="57">
        <f t="shared" si="3"/>
        <v>8.651172371176491E-2</v>
      </c>
      <c r="L9" s="57">
        <f t="shared" si="3"/>
        <v>8.651172371176491E-2</v>
      </c>
      <c r="M9" s="57">
        <f t="shared" si="3"/>
        <v>8.651172371176491E-2</v>
      </c>
    </row>
    <row r="10" spans="1:13" x14ac:dyDescent="0.25">
      <c r="B10" s="55" t="s">
        <v>60</v>
      </c>
      <c r="C10" s="56" t="s">
        <v>89</v>
      </c>
      <c r="D10" s="76">
        <f>'Historical IS and BS'!D12/('Historical IS and BS'!C35+'Historical IS and BS'!C40)</f>
        <v>3.8613435154509892E-2</v>
      </c>
      <c r="E10" s="77">
        <f>'Historical IS and BS'!E12/('Historical IS and BS'!D35+'Historical IS and BS'!D40)</f>
        <v>4.0933944140682729E-2</v>
      </c>
      <c r="F10" s="77">
        <f>'Historical IS and BS'!F12/('Historical IS and BS'!E35+'Historical IS and BS'!E40)</f>
        <v>4.1454070373051322E-2</v>
      </c>
      <c r="G10" s="77">
        <f>'Historical IS and BS'!G12/('Historical IS and BS'!F35+'Historical IS and BS'!F40)</f>
        <v>4.9177713545300504E-2</v>
      </c>
      <c r="H10" s="78">
        <f>'Historical IS and BS'!H12/('Historical IS and BS'!G35+'Historical IS and BS'!G40)</f>
        <v>4.5309189750969342E-2</v>
      </c>
      <c r="I10" s="57">
        <f>H10+0.2%</f>
        <v>4.7309189750969344E-2</v>
      </c>
      <c r="J10" s="57">
        <f t="shared" ref="J10:M10" si="4">I10+0.2%</f>
        <v>4.9309189750969346E-2</v>
      </c>
      <c r="K10" s="57">
        <f t="shared" si="4"/>
        <v>5.1309189750969347E-2</v>
      </c>
      <c r="L10" s="57">
        <f t="shared" si="4"/>
        <v>5.3309189750969349E-2</v>
      </c>
      <c r="M10" s="57">
        <f t="shared" si="4"/>
        <v>5.5309189750969351E-2</v>
      </c>
    </row>
    <row r="11" spans="1:13" x14ac:dyDescent="0.25">
      <c r="B11" s="55" t="s">
        <v>61</v>
      </c>
      <c r="C11" s="56" t="s">
        <v>89</v>
      </c>
      <c r="D11" s="76">
        <f>'Historical IS and BS'!D14/'Historical IS and BS'!D13</f>
        <v>0.31010833138492727</v>
      </c>
      <c r="E11" s="77">
        <f>'Historical IS and BS'!E14/'Historical IS and BS'!E13</f>
        <v>0.32872323166774853</v>
      </c>
      <c r="F11" s="77">
        <f>'Historical IS and BS'!F14/'Historical IS and BS'!F13</f>
        <v>0.3219887898705594</v>
      </c>
      <c r="G11" s="77">
        <f>'Historical IS and BS'!G14/'Historical IS and BS'!G13</f>
        <v>0.30307791847675347</v>
      </c>
      <c r="H11" s="78">
        <f>'Historical IS and BS'!H14/'Historical IS and BS'!H13</f>
        <v>0.30267844074742628</v>
      </c>
      <c r="I11" s="57">
        <f>H11</f>
        <v>0.30267844074742628</v>
      </c>
      <c r="J11" s="57">
        <f t="shared" ref="J11:M11" si="5">I11</f>
        <v>0.30267844074742628</v>
      </c>
      <c r="K11" s="57">
        <f t="shared" si="5"/>
        <v>0.30267844074742628</v>
      </c>
      <c r="L11" s="57">
        <f t="shared" si="5"/>
        <v>0.30267844074742628</v>
      </c>
      <c r="M11" s="57">
        <f t="shared" si="5"/>
        <v>0.30267844074742628</v>
      </c>
    </row>
    <row r="12" spans="1:13" x14ac:dyDescent="0.25">
      <c r="B12" s="61" t="s">
        <v>68</v>
      </c>
      <c r="C12" s="56" t="s">
        <v>89</v>
      </c>
      <c r="D12" s="76">
        <f>'Historical IS and BS'!D18/'Historical IS and BS'!D17</f>
        <v>4.2633476008109968E-2</v>
      </c>
      <c r="E12" s="77">
        <f>'Historical IS and BS'!E18/'Historical IS and BS'!E17</f>
        <v>4.0311470500149806E-2</v>
      </c>
      <c r="F12" s="77">
        <f>'Historical IS and BS'!F18/'Historical IS and BS'!F17</f>
        <v>4.304345283349905E-2</v>
      </c>
      <c r="G12" s="77">
        <f>'Historical IS and BS'!G18/'Historical IS and BS'!G17</f>
        <v>2.5596816976127278E-2</v>
      </c>
      <c r="H12" s="78">
        <f>'Historical IS and BS'!H18/'Historical IS and BS'!H17</f>
        <v>4.5476806828517423E-2</v>
      </c>
      <c r="I12" s="57">
        <f>H12</f>
        <v>4.5476806828517423E-2</v>
      </c>
      <c r="J12" s="57">
        <f t="shared" ref="J12:M12" si="6">I12</f>
        <v>4.5476806828517423E-2</v>
      </c>
      <c r="K12" s="57">
        <f t="shared" si="6"/>
        <v>4.5476806828517423E-2</v>
      </c>
      <c r="L12" s="57">
        <f t="shared" si="6"/>
        <v>4.5476806828517423E-2</v>
      </c>
      <c r="M12" s="57">
        <f t="shared" si="6"/>
        <v>4.5476806828517423E-2</v>
      </c>
    </row>
    <row r="13" spans="1:13" x14ac:dyDescent="0.25"/>
    <row r="14" spans="1:13" x14ac:dyDescent="0.25">
      <c r="B14" s="70" t="s">
        <v>62</v>
      </c>
      <c r="C14" s="52" t="s">
        <v>88</v>
      </c>
      <c r="D14" s="79" t="str">
        <f t="shared" ref="D14:M14" si="7">D5</f>
        <v>2013A</v>
      </c>
      <c r="E14" s="53" t="str">
        <f t="shared" si="7"/>
        <v>2014A</v>
      </c>
      <c r="F14" s="53" t="str">
        <f t="shared" si="7"/>
        <v>2015A</v>
      </c>
      <c r="G14" s="53" t="str">
        <f t="shared" si="7"/>
        <v>2016A</v>
      </c>
      <c r="H14" s="80" t="str">
        <f t="shared" si="7"/>
        <v>2017A</v>
      </c>
      <c r="I14" s="53" t="str">
        <f t="shared" si="7"/>
        <v>2018E</v>
      </c>
      <c r="J14" s="53" t="str">
        <f t="shared" si="7"/>
        <v>2019E</v>
      </c>
      <c r="K14" s="53" t="str">
        <f t="shared" si="7"/>
        <v>2020E</v>
      </c>
      <c r="L14" s="53" t="str">
        <f t="shared" si="7"/>
        <v>2021E</v>
      </c>
      <c r="M14" s="53" t="str">
        <f t="shared" si="7"/>
        <v>2022E</v>
      </c>
    </row>
    <row r="15" spans="1:13" x14ac:dyDescent="0.25">
      <c r="B15" s="71" t="s">
        <v>64</v>
      </c>
      <c r="C15" s="56" t="s">
        <v>89</v>
      </c>
      <c r="D15" s="76">
        <f>'Historical IS and BS'!D23/'Historical IS and BS'!D6</f>
        <v>1.4441450034247232E-2</v>
      </c>
      <c r="E15" s="77">
        <f>'Historical IS and BS'!E23/'Historical IS and BS'!E6</f>
        <v>1.40186523449802E-2</v>
      </c>
      <c r="F15" s="77">
        <f>'Historical IS and BS'!F23/'Historical IS and BS'!F6</f>
        <v>1.3956524335376638E-2</v>
      </c>
      <c r="G15" s="77">
        <f>'Historical IS and BS'!G23/'Historical IS and BS'!G6</f>
        <v>1.1664903656690104E-2</v>
      </c>
      <c r="H15" s="78">
        <f>'Historical IS and BS'!H23/'Historical IS and BS'!H6</f>
        <v>1.2009311075116337E-2</v>
      </c>
      <c r="I15" s="57">
        <f>H15</f>
        <v>1.2009311075116337E-2</v>
      </c>
      <c r="J15" s="57">
        <f t="shared" ref="J15:M15" si="8">I15</f>
        <v>1.2009311075116337E-2</v>
      </c>
      <c r="K15" s="57">
        <f t="shared" si="8"/>
        <v>1.2009311075116337E-2</v>
      </c>
      <c r="L15" s="57">
        <f t="shared" si="8"/>
        <v>1.2009311075116337E-2</v>
      </c>
      <c r="M15" s="57">
        <f t="shared" si="8"/>
        <v>1.2009311075116337E-2</v>
      </c>
    </row>
    <row r="16" spans="1:13" x14ac:dyDescent="0.25">
      <c r="B16" s="71" t="s">
        <v>63</v>
      </c>
      <c r="C16" s="58" t="s">
        <v>89</v>
      </c>
      <c r="D16" s="76">
        <f>'Historical IS and BS'!D24/'Historical IS and BS'!D6</f>
        <v>9.346614004877829E-2</v>
      </c>
      <c r="E16" s="77">
        <f>'Historical IS and BS'!E24/'Historical IS and BS'!E6</f>
        <v>9.4181324979949355E-2</v>
      </c>
      <c r="F16" s="77">
        <f>'Historical IS and BS'!F24/'Historical IS and BS'!F6</f>
        <v>9.2949463709536273E-2</v>
      </c>
      <c r="G16" s="77">
        <f>'Historical IS and BS'!G24/'Historical IS and BS'!G6</f>
        <v>9.2234459585588957E-2</v>
      </c>
      <c r="H16" s="78">
        <f>'Historical IS and BS'!H24/'Historical IS and BS'!H6</f>
        <v>8.8595167873086175E-2</v>
      </c>
      <c r="I16" s="57">
        <f>H16</f>
        <v>8.8595167873086175E-2</v>
      </c>
      <c r="J16" s="57">
        <f t="shared" ref="J16:M16" si="9">I16</f>
        <v>8.8595167873086175E-2</v>
      </c>
      <c r="K16" s="57">
        <f t="shared" si="9"/>
        <v>8.8595167873086175E-2</v>
      </c>
      <c r="L16" s="57">
        <f t="shared" si="9"/>
        <v>8.8595167873086175E-2</v>
      </c>
      <c r="M16" s="57">
        <f t="shared" si="9"/>
        <v>8.8595167873086175E-2</v>
      </c>
    </row>
    <row r="17" spans="2:13" x14ac:dyDescent="0.25">
      <c r="B17" s="71" t="s">
        <v>65</v>
      </c>
      <c r="C17" s="58" t="s">
        <v>89</v>
      </c>
      <c r="D17" s="76">
        <f>'Historical IS and BS'!D29/'Historical IS and BS'!D6</f>
        <v>0.24897204956353447</v>
      </c>
      <c r="E17" s="77">
        <f>'Historical IS and BS'!E29/'Historical IS and BS'!E6</f>
        <v>0.24755088243815798</v>
      </c>
      <c r="F17" s="77">
        <f>'Historical IS and BS'!F29/'Historical IS and BS'!F6</f>
        <v>0.24020335590784328</v>
      </c>
      <c r="G17" s="77">
        <f>'Historical IS and BS'!G29/'Historical IS and BS'!G6</f>
        <v>0.24166925932839692</v>
      </c>
      <c r="H17" s="78">
        <f>'Historical IS and BS'!H29/'Historical IS and BS'!H6</f>
        <v>0.23499556468459865</v>
      </c>
      <c r="I17" s="57">
        <f>H17+0.2%</f>
        <v>0.23699556468459865</v>
      </c>
      <c r="J17" s="57">
        <f t="shared" ref="J17:M17" si="10">I17+0.2%</f>
        <v>0.23899556468459865</v>
      </c>
      <c r="K17" s="57">
        <f t="shared" si="10"/>
        <v>0.24099556468459865</v>
      </c>
      <c r="L17" s="57">
        <f t="shared" si="10"/>
        <v>0.24299556468459865</v>
      </c>
      <c r="M17" s="57">
        <f t="shared" si="10"/>
        <v>0.24499556468459865</v>
      </c>
    </row>
    <row r="18" spans="2:13" x14ac:dyDescent="0.25">
      <c r="B18" s="71" t="s">
        <v>66</v>
      </c>
      <c r="C18" s="56" t="s">
        <v>89</v>
      </c>
      <c r="D18" s="76">
        <f>'Historical IS and BS'!D36/'Historical IS and BS'!D7</f>
        <v>0.11075595007838425</v>
      </c>
      <c r="E18" s="77">
        <f>'Historical IS and BS'!E36/'Historical IS and BS'!E7</f>
        <v>0.1071452094650901</v>
      </c>
      <c r="F18" s="77">
        <f>'Historical IS and BS'!F36/'Historical IS and BS'!F7</f>
        <v>0.10791963204490984</v>
      </c>
      <c r="G18" s="77">
        <f>'Historical IS and BS'!G36/'Historical IS and BS'!G7</f>
        <v>0.10948425454442012</v>
      </c>
      <c r="H18" s="78">
        <f>'Historical IS and BS'!H36/'Historical IS and BS'!H7</f>
        <v>0.11798357518737045</v>
      </c>
      <c r="I18" s="57">
        <f>H18</f>
        <v>0.11798357518737045</v>
      </c>
      <c r="J18" s="57">
        <f t="shared" ref="J18:M18" si="11">I18</f>
        <v>0.11798357518737045</v>
      </c>
      <c r="K18" s="57">
        <f t="shared" si="11"/>
        <v>0.11798357518737045</v>
      </c>
      <c r="L18" s="57">
        <f t="shared" si="11"/>
        <v>0.11798357518737045</v>
      </c>
      <c r="M18" s="57">
        <f t="shared" si="11"/>
        <v>0.11798357518737045</v>
      </c>
    </row>
    <row r="19" spans="2:13" s="50" customFormat="1" x14ac:dyDescent="0.25">
      <c r="B19" s="69"/>
      <c r="C19" s="56"/>
      <c r="D19" s="62"/>
      <c r="E19" s="62"/>
      <c r="F19" s="62"/>
      <c r="G19" s="62"/>
      <c r="H19" s="62"/>
      <c r="I19" s="63"/>
      <c r="J19" s="63"/>
      <c r="K19" s="63"/>
      <c r="L19" s="63"/>
      <c r="M19" s="63"/>
    </row>
    <row r="20" spans="2:13" s="50" customFormat="1" x14ac:dyDescent="0.25">
      <c r="B20" s="72" t="s">
        <v>103</v>
      </c>
      <c r="C20" s="52" t="s">
        <v>88</v>
      </c>
      <c r="D20" s="79" t="str">
        <f>D14</f>
        <v>2013A</v>
      </c>
      <c r="E20" s="53" t="str">
        <f t="shared" ref="E20:M20" si="12">E14</f>
        <v>2014A</v>
      </c>
      <c r="F20" s="53" t="str">
        <f t="shared" si="12"/>
        <v>2015A</v>
      </c>
      <c r="G20" s="53" t="str">
        <f t="shared" si="12"/>
        <v>2016A</v>
      </c>
      <c r="H20" s="80" t="str">
        <f t="shared" si="12"/>
        <v>2017A</v>
      </c>
      <c r="I20" s="53" t="str">
        <f t="shared" si="12"/>
        <v>2018E</v>
      </c>
      <c r="J20" s="53" t="str">
        <f t="shared" si="12"/>
        <v>2019E</v>
      </c>
      <c r="K20" s="53" t="str">
        <f t="shared" si="12"/>
        <v>2020E</v>
      </c>
      <c r="L20" s="53" t="str">
        <f t="shared" si="12"/>
        <v>2021E</v>
      </c>
      <c r="M20" s="53" t="str">
        <f t="shared" si="12"/>
        <v>2022E</v>
      </c>
    </row>
    <row r="21" spans="2:13" x14ac:dyDescent="0.25">
      <c r="B21" s="69" t="s">
        <v>85</v>
      </c>
      <c r="C21" s="56" t="s">
        <v>90</v>
      </c>
      <c r="D21" s="82">
        <v>2.754</v>
      </c>
      <c r="E21" s="83">
        <v>0.91100000000000003</v>
      </c>
      <c r="F21" s="84">
        <v>0</v>
      </c>
      <c r="G21" s="85">
        <v>1.2350000000000001</v>
      </c>
      <c r="H21" s="86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</row>
    <row r="22" spans="2:13" x14ac:dyDescent="0.25">
      <c r="B22" s="69" t="s">
        <v>84</v>
      </c>
      <c r="C22" s="56" t="s">
        <v>90</v>
      </c>
      <c r="D22" s="87">
        <v>0</v>
      </c>
      <c r="E22" s="84">
        <v>0</v>
      </c>
      <c r="F22" s="85">
        <v>6.2880000000000003</v>
      </c>
      <c r="G22" s="84">
        <v>0</v>
      </c>
      <c r="H22" s="88">
        <v>1.673</v>
      </c>
      <c r="I22" s="66">
        <f>1.099</f>
        <v>1.099</v>
      </c>
      <c r="J22" s="64">
        <v>0</v>
      </c>
      <c r="K22" s="64">
        <v>0</v>
      </c>
      <c r="L22" s="64">
        <v>0</v>
      </c>
      <c r="M22" s="64">
        <v>0</v>
      </c>
    </row>
    <row r="23" spans="2:13" s="50" customFormat="1" x14ac:dyDescent="0.25">
      <c r="B23" s="69"/>
      <c r="C23" s="60"/>
      <c r="F23" s="65"/>
      <c r="G23" s="65"/>
      <c r="H23" s="65"/>
    </row>
    <row r="24" spans="2:13" x14ac:dyDescent="0.25">
      <c r="B24" s="69" t="s">
        <v>86</v>
      </c>
      <c r="C24" s="56" t="s">
        <v>90</v>
      </c>
      <c r="D24" s="89">
        <v>0.21099999999999999</v>
      </c>
      <c r="E24" s="85">
        <v>7.0720000000000001</v>
      </c>
      <c r="F24" s="85">
        <v>5.1740000000000004</v>
      </c>
      <c r="G24" s="85">
        <v>3.9E-2</v>
      </c>
      <c r="H24" s="88">
        <v>0.13700000000000001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</row>
    <row r="25" spans="2:13" x14ac:dyDescent="0.25">
      <c r="B25" s="69" t="s">
        <v>87</v>
      </c>
      <c r="C25" s="56" t="s">
        <v>90</v>
      </c>
      <c r="D25" s="89">
        <v>1.478</v>
      </c>
      <c r="E25" s="85">
        <v>4.968</v>
      </c>
      <c r="F25" s="85">
        <v>3.9039999999999999</v>
      </c>
      <c r="G25" s="85">
        <v>4.4320000000000004</v>
      </c>
      <c r="H25" s="88">
        <v>2.0550000000000002</v>
      </c>
      <c r="I25" s="66">
        <f>2.256+0.894</f>
        <v>3.15</v>
      </c>
      <c r="J25" s="224">
        <f>(4.039+1.624)/2</f>
        <v>2.8315000000000001</v>
      </c>
      <c r="K25" s="224">
        <f>(4.039+1.624)/2</f>
        <v>2.8315000000000001</v>
      </c>
      <c r="L25" s="66">
        <f>(4.394+1.395)/2</f>
        <v>2.8944999999999999</v>
      </c>
      <c r="M25" s="66">
        <f>(4.394+1.395)/2</f>
        <v>2.8944999999999999</v>
      </c>
    </row>
    <row r="26" spans="2:13" s="50" customFormat="1" x14ac:dyDescent="0.25">
      <c r="B26" s="69"/>
      <c r="C26" s="56"/>
      <c r="D26" s="81"/>
      <c r="E26" s="81"/>
      <c r="F26" s="81"/>
      <c r="G26" s="81"/>
      <c r="H26" s="81"/>
      <c r="I26" s="81"/>
      <c r="J26" s="81"/>
      <c r="K26" s="81"/>
      <c r="L26" s="81"/>
      <c r="M26" s="81"/>
    </row>
    <row r="27" spans="2:13" x14ac:dyDescent="0.25">
      <c r="B27" s="71" t="s">
        <v>83</v>
      </c>
      <c r="C27" s="56" t="s">
        <v>90</v>
      </c>
      <c r="D27" s="89">
        <v>5.3609999999999998</v>
      </c>
      <c r="E27" s="85">
        <v>6.1390000000000002</v>
      </c>
      <c r="F27" s="85">
        <v>6.1849999999999996</v>
      </c>
      <c r="G27" s="85">
        <v>6.2939999999999996</v>
      </c>
      <c r="H27" s="88">
        <v>6.2160000000000002</v>
      </c>
      <c r="I27" s="66">
        <f>AVERAGE(D27:H27)</f>
        <v>6.0389999999999997</v>
      </c>
      <c r="J27" s="66">
        <f>I27</f>
        <v>6.0389999999999997</v>
      </c>
      <c r="K27" s="66">
        <f t="shared" ref="K27:M27" si="13">J27</f>
        <v>6.0389999999999997</v>
      </c>
      <c r="L27" s="66">
        <f t="shared" si="13"/>
        <v>6.0389999999999997</v>
      </c>
      <c r="M27" s="66">
        <f t="shared" si="13"/>
        <v>6.0389999999999997</v>
      </c>
    </row>
    <row r="28" spans="2:13" x14ac:dyDescent="0.25">
      <c r="B28" s="32" t="s">
        <v>102</v>
      </c>
      <c r="C28" s="56" t="s">
        <v>90</v>
      </c>
      <c r="D28" s="89">
        <v>7.6</v>
      </c>
      <c r="E28" s="85">
        <v>6.6829999999999998</v>
      </c>
      <c r="F28" s="85">
        <v>1.0149999999999999</v>
      </c>
      <c r="G28" s="85">
        <v>4.1120000000000001</v>
      </c>
      <c r="H28" s="88">
        <v>8.298</v>
      </c>
      <c r="I28" s="66">
        <f>9.2/5</f>
        <v>1.8399999999999999</v>
      </c>
      <c r="J28" s="66">
        <f t="shared" ref="J28:M28" si="14">9.2/5</f>
        <v>1.8399999999999999</v>
      </c>
      <c r="K28" s="66">
        <f t="shared" si="14"/>
        <v>1.8399999999999999</v>
      </c>
      <c r="L28" s="66">
        <f t="shared" si="14"/>
        <v>1.8399999999999999</v>
      </c>
      <c r="M28" s="66">
        <f t="shared" si="14"/>
        <v>1.8399999999999999</v>
      </c>
    </row>
    <row r="29" spans="2:13" x14ac:dyDescent="0.25">
      <c r="B29" s="71" t="s">
        <v>69</v>
      </c>
      <c r="C29" s="56" t="s">
        <v>89</v>
      </c>
      <c r="D29" s="90">
        <f>D27/'Historical IS and BS'!D19</f>
        <v>0.31537149244073209</v>
      </c>
      <c r="E29" s="91">
        <f>E27/'Historical IS and BS'!E19</f>
        <v>0.38316065410061223</v>
      </c>
      <c r="F29" s="91">
        <f>F27/'Historical IS and BS'!F19</f>
        <v>0.37798692171362236</v>
      </c>
      <c r="G29" s="91">
        <f>G27/'Historical IS and BS'!G19</f>
        <v>0.42833809718252264</v>
      </c>
      <c r="H29" s="92">
        <f>H27/'Historical IS and BS'!H19</f>
        <v>0.4556182657773214</v>
      </c>
      <c r="I29" s="93"/>
      <c r="J29" s="93"/>
      <c r="K29" s="93"/>
      <c r="L29" s="93"/>
      <c r="M29" s="93"/>
    </row>
    <row r="30" spans="2:13" x14ac:dyDescent="0.25"/>
  </sheetData>
  <mergeCells count="2">
    <mergeCell ref="I4:M4"/>
    <mergeCell ref="D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67"/>
  <sheetViews>
    <sheetView showGridLines="0" topLeftCell="A34" zoomScale="130" zoomScaleNormal="130" workbookViewId="0">
      <pane xSplit="2" topLeftCell="H1" activePane="topRight" state="frozen"/>
      <selection pane="topRight" activeCell="H43" sqref="H43:H44"/>
    </sheetView>
  </sheetViews>
  <sheetFormatPr defaultColWidth="0" defaultRowHeight="15" zeroHeight="1" x14ac:dyDescent="0.25"/>
  <cols>
    <col min="1" max="1" width="2.85546875" customWidth="1"/>
    <col min="2" max="2" width="57.5703125" customWidth="1"/>
    <col min="3" max="13" width="9" style="2" customWidth="1"/>
    <col min="14" max="14" width="2.85546875" customWidth="1"/>
    <col min="15" max="23" width="0" hidden="1" customWidth="1"/>
    <col min="24" max="16384" width="9.140625" hidden="1"/>
  </cols>
  <sheetData>
    <row r="1" spans="1:16" x14ac:dyDescent="0.25">
      <c r="A1" s="1" t="s">
        <v>46</v>
      </c>
    </row>
    <row r="2" spans="1:16" x14ac:dyDescent="0.25">
      <c r="A2" t="s">
        <v>47</v>
      </c>
      <c r="C2" s="19"/>
      <c r="D2" s="19"/>
      <c r="E2" s="19"/>
      <c r="F2" s="28"/>
    </row>
    <row r="3" spans="1:16" ht="15.75" thickBot="1" x14ac:dyDescent="0.3">
      <c r="A3" s="27" t="s">
        <v>31</v>
      </c>
      <c r="C3" s="19"/>
      <c r="D3" s="19"/>
      <c r="E3" s="19"/>
      <c r="F3" s="19"/>
    </row>
    <row r="4" spans="1:16" ht="15.75" thickBot="1" x14ac:dyDescent="0.3">
      <c r="B4" s="11"/>
      <c r="C4" s="215" t="s">
        <v>54</v>
      </c>
      <c r="D4" s="216"/>
      <c r="E4" s="216"/>
      <c r="F4" s="216"/>
      <c r="G4" s="216"/>
      <c r="H4" s="217"/>
      <c r="I4" s="215" t="s">
        <v>53</v>
      </c>
      <c r="J4" s="216"/>
      <c r="K4" s="216"/>
      <c r="L4" s="216"/>
      <c r="M4" s="217"/>
    </row>
    <row r="5" spans="1:16" x14ac:dyDescent="0.25">
      <c r="B5" s="6" t="s">
        <v>0</v>
      </c>
      <c r="C5" s="18" t="s">
        <v>29</v>
      </c>
      <c r="D5" s="18" t="s">
        <v>28</v>
      </c>
      <c r="E5" s="18" t="s">
        <v>25</v>
      </c>
      <c r="F5" s="18" t="s">
        <v>17</v>
      </c>
      <c r="G5" s="4" t="s">
        <v>24</v>
      </c>
      <c r="H5" s="4" t="s">
        <v>35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</row>
    <row r="6" spans="1:16" x14ac:dyDescent="0.25">
      <c r="B6" s="7" t="s">
        <v>1</v>
      </c>
      <c r="C6" s="23">
        <f>446.509</f>
        <v>446.50900000000001</v>
      </c>
      <c r="D6" s="23">
        <f>468.651</f>
        <v>468.65100000000001</v>
      </c>
      <c r="E6" s="23">
        <v>476.29399999999998</v>
      </c>
      <c r="F6" s="23">
        <v>485.65100000000001</v>
      </c>
      <c r="G6" s="3">
        <v>482.13</v>
      </c>
      <c r="H6" s="3">
        <v>485.87299999999999</v>
      </c>
      <c r="I6" s="34">
        <f>H6*(1+'Key ratios'!I6)</f>
        <v>490.61680465430481</v>
      </c>
      <c r="J6" s="34">
        <f>I6*(1+'Key ratios'!J6)</f>
        <v>496.38815889472329</v>
      </c>
      <c r="K6" s="34">
        <f>J6*(1+'Key ratios'!K6)</f>
        <v>503.22018058395736</v>
      </c>
      <c r="L6" s="34">
        <f>K6*(1+'Key ratios'!L6)</f>
        <v>511.15267493453769</v>
      </c>
      <c r="M6" s="34">
        <f>L6*(1+'Key ratios'!M6)</f>
        <v>520.2325182422386</v>
      </c>
    </row>
    <row r="7" spans="1:16" x14ac:dyDescent="0.25">
      <c r="B7" s="8" t="s">
        <v>32</v>
      </c>
      <c r="C7" s="24">
        <f>334.993-8.106</f>
        <v>326.887</v>
      </c>
      <c r="D7" s="24">
        <f>352.297-8.478</f>
        <v>343.81900000000002</v>
      </c>
      <c r="E7" s="24">
        <f>358.069-8.87</f>
        <v>349.19900000000001</v>
      </c>
      <c r="F7" s="24">
        <f>365.086-9.173</f>
        <v>355.91300000000001</v>
      </c>
      <c r="G7" s="24">
        <f>360.984-9.454</f>
        <v>351.53</v>
      </c>
      <c r="H7" s="24">
        <f>361.256-H10</f>
        <v>351.80199999999996</v>
      </c>
      <c r="I7" s="38">
        <f>'Key ratios'!I7*'Forecasted IS and BS'!I6</f>
        <v>353.62346142680195</v>
      </c>
      <c r="J7" s="38">
        <f>'Key ratios'!J7*'Forecasted IS and BS'!J6</f>
        <v>356.79052277510118</v>
      </c>
      <c r="K7" s="38">
        <f>'Key ratios'!K7*'Forecasted IS and BS'!K6</f>
        <v>360.69475674496545</v>
      </c>
      <c r="L7" s="38">
        <f>'Key ratios'!L7*'Forecasted IS and BS'!L6</f>
        <v>365.35825103223158</v>
      </c>
      <c r="M7" s="38">
        <f>'Key ratios'!M7*'Forecasted IS and BS'!M6</f>
        <v>370.80781496991449</v>
      </c>
    </row>
    <row r="8" spans="1:16" x14ac:dyDescent="0.25">
      <c r="B8" s="9" t="s">
        <v>2</v>
      </c>
      <c r="C8" s="25">
        <f t="shared" ref="C8:H8" si="0">C6-C7</f>
        <v>119.62200000000001</v>
      </c>
      <c r="D8" s="25">
        <f t="shared" si="0"/>
        <v>124.83199999999999</v>
      </c>
      <c r="E8" s="25">
        <f t="shared" si="0"/>
        <v>127.09499999999997</v>
      </c>
      <c r="F8" s="25">
        <f t="shared" si="0"/>
        <v>129.738</v>
      </c>
      <c r="G8" s="25">
        <f t="shared" si="0"/>
        <v>130.60000000000002</v>
      </c>
      <c r="H8" s="25">
        <f t="shared" si="0"/>
        <v>134.07100000000003</v>
      </c>
      <c r="I8" s="35">
        <f>I6-I7</f>
        <v>136.99334322750286</v>
      </c>
      <c r="J8" s="35">
        <f t="shared" ref="J8:M8" si="1">J6-J7</f>
        <v>139.59763611962211</v>
      </c>
      <c r="K8" s="35">
        <f t="shared" si="1"/>
        <v>142.52542383899191</v>
      </c>
      <c r="L8" s="35">
        <f t="shared" si="1"/>
        <v>145.79442390230611</v>
      </c>
      <c r="M8" s="35">
        <f t="shared" si="1"/>
        <v>149.42470327232411</v>
      </c>
      <c r="P8" t="s">
        <v>18</v>
      </c>
    </row>
    <row r="9" spans="1:16" x14ac:dyDescent="0.25">
      <c r="B9" s="7" t="s">
        <v>3</v>
      </c>
      <c r="C9" s="23">
        <f>85.025</f>
        <v>85.025000000000006</v>
      </c>
      <c r="D9" s="23">
        <f>88.629</f>
        <v>88.629000000000005</v>
      </c>
      <c r="E9" s="23">
        <v>91.352999999999994</v>
      </c>
      <c r="F9" s="23">
        <v>93.418000000000006</v>
      </c>
      <c r="G9" s="3">
        <f>97.041</f>
        <v>97.040999999999997</v>
      </c>
      <c r="H9" s="3">
        <f>101.853</f>
        <v>101.85299999999999</v>
      </c>
      <c r="I9" s="34">
        <f>'Key ratios'!I8*'Forecasted IS and BS'!I6</f>
        <v>104.80990555014606</v>
      </c>
      <c r="J9" s="34">
        <f>'Key ratios'!J8*'Forecasted IS and BS'!J6</f>
        <v>108.02838597600093</v>
      </c>
      <c r="K9" s="34">
        <f>'Key ratios'!K8*'Forecasted IS and BS'!K6</f>
        <v>111.52811174654332</v>
      </c>
      <c r="L9" s="34">
        <f>'Key ratios'!L8*'Forecasted IS and BS'!L6</f>
        <v>115.33079207563081</v>
      </c>
      <c r="M9" s="34">
        <f>'Key ratios'!M8*'Forecasted IS and BS'!M6</f>
        <v>119.46039678526067</v>
      </c>
    </row>
    <row r="10" spans="1:16" x14ac:dyDescent="0.25">
      <c r="B10" s="8" t="s">
        <v>33</v>
      </c>
      <c r="C10" s="24">
        <f>8.106</f>
        <v>8.1059999999999999</v>
      </c>
      <c r="D10" s="24">
        <f>8.478</f>
        <v>8.4779999999999998</v>
      </c>
      <c r="E10" s="24">
        <v>8.8699999999999992</v>
      </c>
      <c r="F10" s="24">
        <v>9.173</v>
      </c>
      <c r="G10" s="24">
        <v>9.4540000000000006</v>
      </c>
      <c r="H10" s="24">
        <v>9.4540000000000006</v>
      </c>
      <c r="I10" s="38">
        <f>'Key ratios'!I9*'Forecasted IS and BS'!H29</f>
        <v>9.8777355899618939</v>
      </c>
      <c r="J10" s="38">
        <f>'Key ratios'!J9*'Forecasted IS and BS'!I29</f>
        <v>10.059064739272099</v>
      </c>
      <c r="K10" s="38">
        <f>'Key ratios'!K9*'Forecasted IS and BS'!J29</f>
        <v>10.263280998703612</v>
      </c>
      <c r="L10" s="38">
        <f>'Key ratios'!L9*'Forecasted IS and BS'!K29</f>
        <v>10.491608211160754</v>
      </c>
      <c r="M10" s="38">
        <f>'Key ratios'!M9*'Forecasted IS and BS'!L29</f>
        <v>10.745433721450031</v>
      </c>
    </row>
    <row r="11" spans="1:16" x14ac:dyDescent="0.25">
      <c r="B11" s="9" t="s">
        <v>4</v>
      </c>
      <c r="C11" s="25">
        <f t="shared" ref="C11:H11" si="2">C8-C9-C10</f>
        <v>26.491000000000007</v>
      </c>
      <c r="D11" s="25">
        <f t="shared" si="2"/>
        <v>27.724999999999987</v>
      </c>
      <c r="E11" s="25">
        <f t="shared" si="2"/>
        <v>26.871999999999979</v>
      </c>
      <c r="F11" s="25">
        <f t="shared" si="2"/>
        <v>27.146999999999991</v>
      </c>
      <c r="G11" s="25">
        <f t="shared" si="2"/>
        <v>24.105000000000025</v>
      </c>
      <c r="H11" s="25">
        <f t="shared" si="2"/>
        <v>22.764000000000031</v>
      </c>
      <c r="I11" s="35">
        <f>I8-I9-I10</f>
        <v>22.305702087394913</v>
      </c>
      <c r="J11" s="35">
        <f t="shared" ref="J11:M11" si="3">J8-J9-J10</f>
        <v>21.510185404349077</v>
      </c>
      <c r="K11" s="35">
        <f t="shared" si="3"/>
        <v>20.734031093744981</v>
      </c>
      <c r="L11" s="35">
        <f t="shared" si="3"/>
        <v>19.972023615514544</v>
      </c>
      <c r="M11" s="35">
        <f t="shared" si="3"/>
        <v>19.218872765613408</v>
      </c>
    </row>
    <row r="12" spans="1:16" x14ac:dyDescent="0.25">
      <c r="B12" s="8" t="s">
        <v>34</v>
      </c>
      <c r="C12" s="24">
        <f>2.159</f>
        <v>2.1589999999999998</v>
      </c>
      <c r="D12" s="24">
        <f>2.063</f>
        <v>2.0630000000000002</v>
      </c>
      <c r="E12" s="24">
        <v>2.2160000000000002</v>
      </c>
      <c r="F12" s="24">
        <v>2.3479999999999999</v>
      </c>
      <c r="G12" s="24">
        <f>2.467</f>
        <v>2.4670000000000001</v>
      </c>
      <c r="H12" s="24">
        <f>2.267</f>
        <v>2.2669999999999999</v>
      </c>
      <c r="I12" s="38">
        <f>'Key ratios'!I10*('Forecasted IS and BS'!H35+'Forecasted IS and BS'!H40)</f>
        <v>2.1732895587800298</v>
      </c>
      <c r="J12" s="38">
        <f>'Key ratios'!J10*('Forecasted IS and BS'!I35+'Forecasted IS and BS'!I40)</f>
        <v>2.0556508115281611</v>
      </c>
      <c r="K12" s="38">
        <f>'Key ratios'!K10*('Forecasted IS and BS'!J35+'Forecasted IS and BS'!J40)</f>
        <v>1.9937468407482914</v>
      </c>
      <c r="L12" s="38">
        <f>'Key ratios'!L10*('Forecasted IS and BS'!K35+'Forecasted IS and BS'!K40)</f>
        <v>1.9205168699684219</v>
      </c>
      <c r="M12" s="38">
        <f>'Key ratios'!M10*('Forecasted IS and BS'!L35+'Forecasted IS and BS'!L40)</f>
        <v>1.8324764202342412</v>
      </c>
    </row>
    <row r="13" spans="1:16" x14ac:dyDescent="0.25">
      <c r="B13" s="9" t="s">
        <v>5</v>
      </c>
      <c r="C13" s="25">
        <f t="shared" ref="C13:H13" si="4">C11-C12</f>
        <v>24.332000000000008</v>
      </c>
      <c r="D13" s="25">
        <f t="shared" si="4"/>
        <v>25.661999999999988</v>
      </c>
      <c r="E13" s="25">
        <f t="shared" si="4"/>
        <v>24.655999999999977</v>
      </c>
      <c r="F13" s="25">
        <f t="shared" si="4"/>
        <v>24.798999999999992</v>
      </c>
      <c r="G13" s="25">
        <f t="shared" si="4"/>
        <v>21.638000000000027</v>
      </c>
      <c r="H13" s="25">
        <f t="shared" si="4"/>
        <v>20.497000000000032</v>
      </c>
      <c r="I13" s="35">
        <f>I11-I12</f>
        <v>20.132412528614882</v>
      </c>
      <c r="J13" s="35">
        <f t="shared" ref="J13:M13" si="5">J11-J12</f>
        <v>19.454534592820917</v>
      </c>
      <c r="K13" s="35">
        <f t="shared" si="5"/>
        <v>18.740284252996691</v>
      </c>
      <c r="L13" s="35">
        <f t="shared" si="5"/>
        <v>18.051506745546121</v>
      </c>
      <c r="M13" s="35">
        <f t="shared" si="5"/>
        <v>17.386396345379168</v>
      </c>
    </row>
    <row r="14" spans="1:16" x14ac:dyDescent="0.25">
      <c r="B14" s="8" t="s">
        <v>6</v>
      </c>
      <c r="C14" s="26">
        <f>7.924</f>
        <v>7.9240000000000004</v>
      </c>
      <c r="D14" s="26">
        <f>7.958</f>
        <v>7.9580000000000002</v>
      </c>
      <c r="E14" s="26">
        <v>8.1050000000000004</v>
      </c>
      <c r="F14" s="26">
        <v>7.9850000000000003</v>
      </c>
      <c r="G14" s="24">
        <f>6.558</f>
        <v>6.5579999999999998</v>
      </c>
      <c r="H14" s="24">
        <v>6.2039999999999997</v>
      </c>
      <c r="I14" s="38">
        <f>'Key ratios'!I11*'Forecasted IS and BS'!I13</f>
        <v>6.0936472326451021</v>
      </c>
      <c r="J14" s="38">
        <f>'Key ratios'!J11*'Forecasted IS and BS'!J13</f>
        <v>5.8884681960219005</v>
      </c>
      <c r="K14" s="38">
        <f>'Key ratios'!K11*'Forecasted IS and BS'!K13</f>
        <v>5.6722800168605847</v>
      </c>
      <c r="L14" s="38">
        <f>'Key ratios'!L11*'Forecasted IS and BS'!L13</f>
        <v>5.4638019148835477</v>
      </c>
      <c r="M14" s="38">
        <f>'Key ratios'!M11*'Forecasted IS and BS'!M13</f>
        <v>5.2624873360361173</v>
      </c>
    </row>
    <row r="15" spans="1:16" x14ac:dyDescent="0.25">
      <c r="B15" s="9" t="s">
        <v>37</v>
      </c>
      <c r="C15" s="29">
        <f t="shared" ref="C15:H15" si="6">C13-C14</f>
        <v>16.408000000000008</v>
      </c>
      <c r="D15" s="29">
        <f t="shared" si="6"/>
        <v>17.703999999999986</v>
      </c>
      <c r="E15" s="29">
        <f t="shared" si="6"/>
        <v>16.550999999999977</v>
      </c>
      <c r="F15" s="29">
        <f t="shared" si="6"/>
        <v>16.813999999999993</v>
      </c>
      <c r="G15" s="29">
        <f t="shared" si="6"/>
        <v>15.080000000000027</v>
      </c>
      <c r="H15" s="29">
        <f t="shared" si="6"/>
        <v>14.293000000000031</v>
      </c>
      <c r="I15" s="36">
        <f>I13-I14</f>
        <v>14.03876529596978</v>
      </c>
      <c r="J15" s="36">
        <f t="shared" ref="J15:M15" si="7">J13-J14</f>
        <v>13.566066396799016</v>
      </c>
      <c r="K15" s="36">
        <f t="shared" si="7"/>
        <v>13.068004236136106</v>
      </c>
      <c r="L15" s="36">
        <f t="shared" si="7"/>
        <v>12.587704830662574</v>
      </c>
      <c r="M15" s="36">
        <f t="shared" si="7"/>
        <v>12.123909009343052</v>
      </c>
    </row>
    <row r="16" spans="1:16" x14ac:dyDescent="0.25">
      <c r="B16" s="31" t="s">
        <v>40</v>
      </c>
      <c r="C16" s="33">
        <v>-2.1000000000000001E-2</v>
      </c>
      <c r="D16" s="33">
        <v>5.1999999999999998E-2</v>
      </c>
      <c r="E16" s="33">
        <v>0.14399999999999999</v>
      </c>
      <c r="F16" s="33">
        <v>0.28499999999999998</v>
      </c>
      <c r="G16" s="33">
        <v>0</v>
      </c>
      <c r="H16" s="33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</row>
    <row r="17" spans="2:13" x14ac:dyDescent="0.25">
      <c r="B17" s="9" t="s">
        <v>38</v>
      </c>
      <c r="C17" s="29">
        <f t="shared" ref="C17:H17" si="8">C15+C16</f>
        <v>16.387000000000008</v>
      </c>
      <c r="D17" s="29">
        <f t="shared" si="8"/>
        <v>17.755999999999986</v>
      </c>
      <c r="E17" s="29">
        <f t="shared" si="8"/>
        <v>16.694999999999975</v>
      </c>
      <c r="F17" s="29">
        <f t="shared" si="8"/>
        <v>17.098999999999993</v>
      </c>
      <c r="G17" s="29">
        <f t="shared" si="8"/>
        <v>15.080000000000027</v>
      </c>
      <c r="H17" s="29">
        <f t="shared" si="8"/>
        <v>14.293000000000031</v>
      </c>
      <c r="I17" s="36">
        <f>I15+I16</f>
        <v>14.03876529596978</v>
      </c>
      <c r="J17" s="36">
        <f t="shared" ref="J17:M17" si="9">J15+J16</f>
        <v>13.566066396799016</v>
      </c>
      <c r="K17" s="36">
        <f t="shared" si="9"/>
        <v>13.068004236136106</v>
      </c>
      <c r="L17" s="36">
        <f t="shared" si="9"/>
        <v>12.587704830662574</v>
      </c>
      <c r="M17" s="36">
        <f t="shared" si="9"/>
        <v>12.123909009343052</v>
      </c>
    </row>
    <row r="18" spans="2:13" x14ac:dyDescent="0.25">
      <c r="B18" s="32" t="s">
        <v>42</v>
      </c>
      <c r="C18" s="30">
        <v>0.68799999999999994</v>
      </c>
      <c r="D18" s="30">
        <v>0.75700000000000001</v>
      </c>
      <c r="E18" s="30">
        <v>0.67300000000000004</v>
      </c>
      <c r="F18" s="30">
        <v>0.73599999999999999</v>
      </c>
      <c r="G18" s="30">
        <v>0.38600000000000001</v>
      </c>
      <c r="H18" s="30">
        <v>0.65</v>
      </c>
      <c r="I18" s="37">
        <f>'Key ratios'!I12*'Forecasted IS and BS'!I17</f>
        <v>0.63843821747571194</v>
      </c>
      <c r="J18" s="37">
        <f>'Key ratios'!J12*'Forecasted IS and BS'!J17</f>
        <v>0.61694138095007023</v>
      </c>
      <c r="K18" s="37">
        <f>'Key ratios'!K12*'Forecasted IS and BS'!K17</f>
        <v>0.59429110428100906</v>
      </c>
      <c r="L18" s="37">
        <f>'Key ratios'!L12*'Forecasted IS and BS'!L17</f>
        <v>0.57244862099843752</v>
      </c>
      <c r="M18" s="37">
        <f>'Key ratios'!M12*'Forecasted IS and BS'!M17</f>
        <v>0.55135666802441596</v>
      </c>
    </row>
    <row r="19" spans="2:13" ht="15.75" thickBot="1" x14ac:dyDescent="0.3">
      <c r="B19" s="10" t="s">
        <v>41</v>
      </c>
      <c r="C19" s="5">
        <f t="shared" ref="C19:H19" si="10">C17-C18</f>
        <v>15.699000000000007</v>
      </c>
      <c r="D19" s="5">
        <f t="shared" si="10"/>
        <v>16.998999999999985</v>
      </c>
      <c r="E19" s="5">
        <f t="shared" si="10"/>
        <v>16.021999999999977</v>
      </c>
      <c r="F19" s="5">
        <f t="shared" si="10"/>
        <v>16.362999999999992</v>
      </c>
      <c r="G19" s="5">
        <f t="shared" si="10"/>
        <v>14.694000000000027</v>
      </c>
      <c r="H19" s="5">
        <f t="shared" si="10"/>
        <v>13.643000000000031</v>
      </c>
      <c r="I19" s="40">
        <f>I17-I18</f>
        <v>13.400327078494069</v>
      </c>
      <c r="J19" s="40">
        <f t="shared" ref="J19:M19" si="11">J17-J18</f>
        <v>12.949125015848946</v>
      </c>
      <c r="K19" s="40">
        <f t="shared" si="11"/>
        <v>12.473713131855098</v>
      </c>
      <c r="L19" s="40">
        <f t="shared" si="11"/>
        <v>12.015256209664136</v>
      </c>
      <c r="M19" s="40">
        <f t="shared" si="11"/>
        <v>11.572552341318636</v>
      </c>
    </row>
    <row r="20" spans="2:13" ht="15.75" thickTop="1" x14ac:dyDescent="0.25"/>
    <row r="21" spans="2:13" x14ac:dyDescent="0.25">
      <c r="B21" s="6" t="s">
        <v>12</v>
      </c>
      <c r="C21" s="4" t="str">
        <f t="shared" ref="C21:M21" si="12">C5</f>
        <v>2012A</v>
      </c>
      <c r="D21" s="4" t="str">
        <f t="shared" si="12"/>
        <v>2013A</v>
      </c>
      <c r="E21" s="4" t="str">
        <f t="shared" si="12"/>
        <v>2014A</v>
      </c>
      <c r="F21" s="4" t="str">
        <f t="shared" si="12"/>
        <v>2015A</v>
      </c>
      <c r="G21" s="4" t="str">
        <f t="shared" si="12"/>
        <v>2016A</v>
      </c>
      <c r="H21" s="4" t="str">
        <f t="shared" si="12"/>
        <v>2017A</v>
      </c>
      <c r="I21" s="4" t="str">
        <f t="shared" si="12"/>
        <v>2018E</v>
      </c>
      <c r="J21" s="4" t="str">
        <f t="shared" si="12"/>
        <v>2019E</v>
      </c>
      <c r="K21" s="4" t="str">
        <f t="shared" si="12"/>
        <v>2020E</v>
      </c>
      <c r="L21" s="4" t="str">
        <f t="shared" si="12"/>
        <v>2021E</v>
      </c>
      <c r="M21" s="4" t="str">
        <f t="shared" si="12"/>
        <v>2022E</v>
      </c>
    </row>
    <row r="22" spans="2:13" x14ac:dyDescent="0.25">
      <c r="B22" s="7" t="s">
        <v>9</v>
      </c>
      <c r="C22" s="23">
        <f>6.55</f>
        <v>6.55</v>
      </c>
      <c r="D22" s="23">
        <f>7.781</f>
        <v>7.7809999999999997</v>
      </c>
      <c r="E22" s="23">
        <f>7.281</f>
        <v>7.2809999999999997</v>
      </c>
      <c r="F22" s="23">
        <v>9.1349999999999998</v>
      </c>
      <c r="G22" s="3">
        <v>8.7050000000000001</v>
      </c>
      <c r="H22" s="3">
        <v>6.867</v>
      </c>
      <c r="I22" s="34">
        <f>'Forecasted CF statement'!I31</f>
        <v>6.4932708869582827</v>
      </c>
      <c r="J22" s="34">
        <f>'Forecasted CF statement'!J31</f>
        <v>6.7813127432922906</v>
      </c>
      <c r="K22" s="34">
        <f>'Forecasted CF statement'!K31</f>
        <v>6.2728572366289113</v>
      </c>
      <c r="L22" s="34">
        <f>'Forecasted CF statement'!L31</f>
        <v>4.9052320300247603</v>
      </c>
      <c r="M22" s="34">
        <f>'Forecasted CF statement'!M31</f>
        <v>2.7383004827582864</v>
      </c>
    </row>
    <row r="23" spans="2:13" x14ac:dyDescent="0.25">
      <c r="B23" s="7" t="s">
        <v>8</v>
      </c>
      <c r="C23" s="23">
        <f>5.937</f>
        <v>5.9370000000000003</v>
      </c>
      <c r="D23" s="23">
        <f>6.768</f>
        <v>6.7679999999999998</v>
      </c>
      <c r="E23" s="23">
        <f>6.677</f>
        <v>6.6769999999999996</v>
      </c>
      <c r="F23" s="23">
        <f>6.778</f>
        <v>6.7779999999999996</v>
      </c>
      <c r="G23" s="3">
        <v>5.6239999999999997</v>
      </c>
      <c r="H23" s="3">
        <v>5.835</v>
      </c>
      <c r="I23" s="34">
        <f>'Key ratios'!I15*'Forecasted IS and BS'!I6</f>
        <v>5.8919698257731312</v>
      </c>
      <c r="J23" s="34">
        <f>'Key ratios'!J15*'Forecasted IS and BS'!J6</f>
        <v>5.9612798141710082</v>
      </c>
      <c r="K23" s="34">
        <f>'Key ratios'!K15*'Forecasted IS and BS'!K6</f>
        <v>6.0433276879089624</v>
      </c>
      <c r="L23" s="34">
        <f>'Key ratios'!L15*'Forecasted IS and BS'!L6</f>
        <v>6.1385914801666841</v>
      </c>
      <c r="M23" s="34">
        <f>'Key ratios'!M15*'Forecasted IS and BS'!M6</f>
        <v>6.2476341429621778</v>
      </c>
    </row>
    <row r="24" spans="2:13" x14ac:dyDescent="0.25">
      <c r="B24" s="7" t="s">
        <v>7</v>
      </c>
      <c r="C24" s="23">
        <f>40.714</f>
        <v>40.713999999999999</v>
      </c>
      <c r="D24" s="23">
        <f>43.803</f>
        <v>43.802999999999997</v>
      </c>
      <c r="E24" s="23">
        <f>44.858</f>
        <v>44.857999999999997</v>
      </c>
      <c r="F24" s="23">
        <v>45.140999999999998</v>
      </c>
      <c r="G24" s="3">
        <v>44.469000000000001</v>
      </c>
      <c r="H24" s="3">
        <v>43.045999999999999</v>
      </c>
      <c r="I24" s="34">
        <f>'Key ratios'!I16*'Forecasted IS and BS'!I6</f>
        <v>43.466278169705262</v>
      </c>
      <c r="J24" s="34">
        <f>'Key ratios'!J16*'Forecasted IS and BS'!J6</f>
        <v>43.977592267490188</v>
      </c>
      <c r="K24" s="34">
        <f>'Key ratios'!K16*'Forecasted IS and BS'!K6</f>
        <v>44.582876375960446</v>
      </c>
      <c r="L24" s="34">
        <f>'Key ratios'!L16*'Forecasted IS and BS'!L6</f>
        <v>45.285657044602416</v>
      </c>
      <c r="M24" s="34">
        <f>'Key ratios'!M16*'Forecasted IS and BS'!M6</f>
        <v>46.090087286709498</v>
      </c>
    </row>
    <row r="25" spans="2:13" x14ac:dyDescent="0.25">
      <c r="B25" s="7" t="s">
        <v>43</v>
      </c>
      <c r="C25" s="23">
        <v>1.6850000000000001</v>
      </c>
      <c r="D25" s="23">
        <v>1.5509999999999999</v>
      </c>
      <c r="E25" s="23">
        <v>1.909</v>
      </c>
      <c r="F25" s="23">
        <v>2.2240000000000002</v>
      </c>
      <c r="G25" s="3">
        <v>1.4410000000000001</v>
      </c>
      <c r="H25" s="3">
        <v>1.9410000000000001</v>
      </c>
      <c r="I25" s="34">
        <f>H25</f>
        <v>1.9410000000000001</v>
      </c>
      <c r="J25" s="34">
        <f t="shared" ref="J25:M25" si="13">I25</f>
        <v>1.9410000000000001</v>
      </c>
      <c r="K25" s="34">
        <f t="shared" si="13"/>
        <v>1.9410000000000001</v>
      </c>
      <c r="L25" s="34">
        <f t="shared" si="13"/>
        <v>1.9410000000000001</v>
      </c>
      <c r="M25" s="34">
        <f t="shared" si="13"/>
        <v>1.9410000000000001</v>
      </c>
    </row>
    <row r="26" spans="2:13" x14ac:dyDescent="0.25">
      <c r="B26" s="8" t="s">
        <v>44</v>
      </c>
      <c r="C26" s="24">
        <v>8.8999999999999996E-2</v>
      </c>
      <c r="D26" s="24">
        <v>3.6999999999999998E-2</v>
      </c>
      <c r="E26" s="24">
        <v>0.46</v>
      </c>
      <c r="F26" s="24">
        <v>0</v>
      </c>
      <c r="G26" s="24">
        <v>0</v>
      </c>
      <c r="H26" s="24">
        <v>0</v>
      </c>
      <c r="I26" s="38">
        <v>0</v>
      </c>
      <c r="J26" s="38">
        <v>0</v>
      </c>
      <c r="K26" s="38">
        <v>0</v>
      </c>
      <c r="L26" s="38">
        <v>0</v>
      </c>
      <c r="M26" s="38">
        <v>0</v>
      </c>
    </row>
    <row r="27" spans="2:13" x14ac:dyDescent="0.25">
      <c r="B27" s="9" t="s">
        <v>23</v>
      </c>
      <c r="C27" s="12">
        <f t="shared" ref="C27:H27" si="14">SUM(C22:C26)</f>
        <v>54.975000000000001</v>
      </c>
      <c r="D27" s="12">
        <f t="shared" si="14"/>
        <v>59.94</v>
      </c>
      <c r="E27" s="12">
        <f t="shared" si="14"/>
        <v>61.184999999999995</v>
      </c>
      <c r="F27" s="12">
        <f t="shared" si="14"/>
        <v>63.278000000000006</v>
      </c>
      <c r="G27" s="12">
        <f t="shared" si="14"/>
        <v>60.239000000000004</v>
      </c>
      <c r="H27" s="12">
        <f t="shared" si="14"/>
        <v>57.689</v>
      </c>
      <c r="I27" s="35">
        <f>SUM(I22:I26)</f>
        <v>57.792518882436681</v>
      </c>
      <c r="J27" s="35">
        <f t="shared" ref="J27:M27" si="15">SUM(J22:J26)</f>
        <v>58.661184824953487</v>
      </c>
      <c r="K27" s="35">
        <f t="shared" si="15"/>
        <v>58.84006130049832</v>
      </c>
      <c r="L27" s="35">
        <f t="shared" si="15"/>
        <v>58.270480554793863</v>
      </c>
      <c r="M27" s="35">
        <f t="shared" si="15"/>
        <v>57.017021912429968</v>
      </c>
    </row>
    <row r="28" spans="2:13" x14ac:dyDescent="0.25">
      <c r="B28" s="7"/>
      <c r="C28" s="23"/>
      <c r="D28" s="23"/>
      <c r="E28" s="23"/>
      <c r="F28" s="23"/>
      <c r="G28" s="15"/>
      <c r="H28" s="15"/>
      <c r="I28" s="15"/>
      <c r="J28" s="15"/>
      <c r="K28" s="15"/>
      <c r="L28" s="15"/>
      <c r="M28" s="15"/>
    </row>
    <row r="29" spans="2:13" x14ac:dyDescent="0.25">
      <c r="B29" s="7" t="s">
        <v>10</v>
      </c>
      <c r="C29" s="23">
        <f>109.603+2.721</f>
        <v>112.324</v>
      </c>
      <c r="D29" s="23">
        <f>113.929+2.752</f>
        <v>116.681</v>
      </c>
      <c r="E29" s="23">
        <f>115.364+2.543</f>
        <v>117.90700000000001</v>
      </c>
      <c r="F29" s="23">
        <f>114.28+2.375</f>
        <v>116.655</v>
      </c>
      <c r="G29" s="3">
        <f>110.171+6.345</f>
        <v>116.51600000000001</v>
      </c>
      <c r="H29" s="3">
        <f>107.71+6.468</f>
        <v>114.178</v>
      </c>
      <c r="I29" s="34">
        <f>'Key ratios'!I17*'Forecasted IS and BS'!I6</f>
        <v>116.27400666280039</v>
      </c>
      <c r="J29" s="34">
        <f>'Key ratios'!J17*'Forecasted IS and BS'!J6</f>
        <v>118.63456833779267</v>
      </c>
      <c r="K29" s="34">
        <f>'Key ratios'!K17*'Forecasted IS and BS'!K6</f>
        <v>121.27383158051651</v>
      </c>
      <c r="L29" s="34">
        <f>'Key ratios'!L17*'Forecasted IS and BS'!L6</f>
        <v>124.20783288576108</v>
      </c>
      <c r="M29" s="34">
        <f>'Key ratios'!M17*'Forecasted IS and BS'!M6</f>
        <v>127.45465957404802</v>
      </c>
    </row>
    <row r="30" spans="2:13" x14ac:dyDescent="0.25">
      <c r="B30" s="7" t="s">
        <v>45</v>
      </c>
      <c r="C30" s="23">
        <f>20.651</f>
        <v>20.651</v>
      </c>
      <c r="D30" s="23">
        <f>20.497</f>
        <v>20.497</v>
      </c>
      <c r="E30" s="23">
        <f>19.51</f>
        <v>19.510000000000002</v>
      </c>
      <c r="F30" s="23">
        <f>18.102</f>
        <v>18.102</v>
      </c>
      <c r="G30" s="3">
        <f>16.695</f>
        <v>16.695</v>
      </c>
      <c r="H30" s="3">
        <v>17.036999999999999</v>
      </c>
      <c r="I30" s="34">
        <f>H30</f>
        <v>17.036999999999999</v>
      </c>
      <c r="J30" s="34">
        <f t="shared" ref="J30:M30" si="16">I30</f>
        <v>17.036999999999999</v>
      </c>
      <c r="K30" s="34">
        <f t="shared" si="16"/>
        <v>17.036999999999999</v>
      </c>
      <c r="L30" s="34">
        <f t="shared" si="16"/>
        <v>17.036999999999999</v>
      </c>
      <c r="M30" s="34">
        <f t="shared" si="16"/>
        <v>17.036999999999999</v>
      </c>
    </row>
    <row r="31" spans="2:13" x14ac:dyDescent="0.25">
      <c r="B31" s="7" t="s">
        <v>22</v>
      </c>
      <c r="C31" s="23">
        <f>5.456</f>
        <v>5.4560000000000004</v>
      </c>
      <c r="D31" s="23">
        <f>5.987</f>
        <v>5.9870000000000001</v>
      </c>
      <c r="E31" s="23">
        <f>6.149</f>
        <v>6.149</v>
      </c>
      <c r="F31" s="23">
        <f>5.455</f>
        <v>5.4550000000000001</v>
      </c>
      <c r="G31" s="3">
        <f>6.131</f>
        <v>6.1310000000000002</v>
      </c>
      <c r="H31" s="3">
        <v>9.9209999999999994</v>
      </c>
      <c r="I31" s="34">
        <f>H31</f>
        <v>9.9209999999999994</v>
      </c>
      <c r="J31" s="34">
        <f t="shared" ref="J31:M31" si="17">I31</f>
        <v>9.9209999999999994</v>
      </c>
      <c r="K31" s="34">
        <f t="shared" si="17"/>
        <v>9.9209999999999994</v>
      </c>
      <c r="L31" s="34">
        <f t="shared" si="17"/>
        <v>9.9209999999999994</v>
      </c>
      <c r="M31" s="34">
        <f t="shared" si="17"/>
        <v>9.9209999999999994</v>
      </c>
    </row>
    <row r="32" spans="2:13" ht="15.75" thickBot="1" x14ac:dyDescent="0.3">
      <c r="B32" s="10" t="s">
        <v>11</v>
      </c>
      <c r="C32" s="5">
        <f t="shared" ref="C32:H32" si="18">C27+C29+C31+C30</f>
        <v>193.40600000000001</v>
      </c>
      <c r="D32" s="5">
        <f t="shared" si="18"/>
        <v>203.10499999999996</v>
      </c>
      <c r="E32" s="5">
        <f t="shared" si="18"/>
        <v>204.751</v>
      </c>
      <c r="F32" s="5">
        <f t="shared" si="18"/>
        <v>203.49</v>
      </c>
      <c r="G32" s="5">
        <f t="shared" si="18"/>
        <v>199.58099999999999</v>
      </c>
      <c r="H32" s="5">
        <f t="shared" si="18"/>
        <v>198.82499999999999</v>
      </c>
      <c r="I32" s="40">
        <f>SUM(I27:I31)</f>
        <v>201.02452554523708</v>
      </c>
      <c r="J32" s="40">
        <f t="shared" ref="J32:M32" si="19">SUM(J27:J31)</f>
        <v>204.25375316274616</v>
      </c>
      <c r="K32" s="40">
        <f t="shared" si="19"/>
        <v>207.07189288101483</v>
      </c>
      <c r="L32" s="40">
        <f t="shared" si="19"/>
        <v>209.43631344055493</v>
      </c>
      <c r="M32" s="40">
        <f t="shared" si="19"/>
        <v>211.42968148647799</v>
      </c>
    </row>
    <row r="33" spans="2:13 16381:16384" ht="15.75" thickTop="1" x14ac:dyDescent="0.25"/>
    <row r="34" spans="2:13 16381:16384" x14ac:dyDescent="0.25">
      <c r="B34" s="6" t="s">
        <v>20</v>
      </c>
      <c r="C34" s="4" t="str">
        <f t="shared" ref="C34:M34" si="20">C21</f>
        <v>2012A</v>
      </c>
      <c r="D34" s="4" t="str">
        <f t="shared" si="20"/>
        <v>2013A</v>
      </c>
      <c r="E34" s="4" t="str">
        <f t="shared" si="20"/>
        <v>2014A</v>
      </c>
      <c r="F34" s="4" t="str">
        <f t="shared" si="20"/>
        <v>2015A</v>
      </c>
      <c r="G34" s="4" t="str">
        <f t="shared" si="20"/>
        <v>2016A</v>
      </c>
      <c r="H34" s="4" t="str">
        <f t="shared" si="20"/>
        <v>2017A</v>
      </c>
      <c r="I34" s="4" t="str">
        <f t="shared" si="20"/>
        <v>2018E</v>
      </c>
      <c r="J34" s="4" t="str">
        <f t="shared" si="20"/>
        <v>2019E</v>
      </c>
      <c r="K34" s="4" t="str">
        <f t="shared" si="20"/>
        <v>2020E</v>
      </c>
      <c r="L34" s="4" t="str">
        <f t="shared" si="20"/>
        <v>2021E</v>
      </c>
      <c r="M34" s="4" t="str">
        <f t="shared" si="20"/>
        <v>2022E</v>
      </c>
    </row>
    <row r="35" spans="2:13 16381:16384" x14ac:dyDescent="0.25">
      <c r="B35" s="7" t="s">
        <v>13</v>
      </c>
      <c r="C35" s="23">
        <f>4.047+1.975+0.326</f>
        <v>6.3479999999999999</v>
      </c>
      <c r="D35" s="23">
        <f>6.805+5.587+0.327</f>
        <v>12.718999999999999</v>
      </c>
      <c r="E35" s="23">
        <f>7.67+4.103+0.309</f>
        <v>12.081999999999999</v>
      </c>
      <c r="F35" s="23">
        <f>1.592+4.791+0.287</f>
        <v>6.6700000000000008</v>
      </c>
      <c r="G35" s="3">
        <f>2.708+2.745+0.551</f>
        <v>6.0040000000000004</v>
      </c>
      <c r="H35" s="3">
        <f>1.099+2.256+0.565</f>
        <v>3.9199999999999995</v>
      </c>
      <c r="I35" s="34">
        <f>H35+'Key ratios'!I21-'Key ratios'!I22</f>
        <v>2.8209999999999997</v>
      </c>
      <c r="J35" s="34">
        <f>I35+'Key ratios'!J21-'Key ratios'!J22</f>
        <v>2.8209999999999997</v>
      </c>
      <c r="K35" s="34">
        <f>J35+'Key ratios'!K21-'Key ratios'!K22</f>
        <v>2.8209999999999997</v>
      </c>
      <c r="L35" s="34">
        <f>K35+'Key ratios'!L21-'Key ratios'!L22</f>
        <v>2.8209999999999997</v>
      </c>
      <c r="M35" s="34">
        <f>L35+'Key ratios'!M21-'Key ratios'!M22</f>
        <v>2.8209999999999997</v>
      </c>
    </row>
    <row r="36" spans="2:13 16381:16384" x14ac:dyDescent="0.25">
      <c r="B36" s="7" t="s">
        <v>14</v>
      </c>
      <c r="C36" s="23">
        <f>36.608</f>
        <v>36.607999999999997</v>
      </c>
      <c r="D36" s="23">
        <f>38.08</f>
        <v>38.08</v>
      </c>
      <c r="E36" s="23">
        <f>37.415</f>
        <v>37.414999999999999</v>
      </c>
      <c r="F36" s="23">
        <v>38.409999999999997</v>
      </c>
      <c r="G36" s="3">
        <v>38.487000000000002</v>
      </c>
      <c r="H36" s="3">
        <v>41.433</v>
      </c>
      <c r="I36" s="34">
        <f>'Key ratios'!I18*'Forecasted IS and BS'!I7</f>
        <v>41.721760249267284</v>
      </c>
      <c r="J36" s="34">
        <f>'Key ratios'!J18*'Forecasted IS and BS'!J7</f>
        <v>42.09542146997736</v>
      </c>
      <c r="K36" s="34">
        <f>'Key ratios'!K18*'Forecasted IS and BS'!K7</f>
        <v>42.556056952109927</v>
      </c>
      <c r="L36" s="34">
        <f>'Key ratios'!L18*'Forecasted IS and BS'!L7</f>
        <v>43.106272680987459</v>
      </c>
      <c r="M36" s="34">
        <f>'Key ratios'!M18*'Forecasted IS and BS'!M7</f>
        <v>43.749231717567454</v>
      </c>
    </row>
    <row r="37" spans="2:13 16381:16384" x14ac:dyDescent="0.25">
      <c r="B37" s="8" t="s">
        <v>26</v>
      </c>
      <c r="C37" s="24">
        <f>18.154+1.164+0.026</f>
        <v>19.344000000000001</v>
      </c>
      <c r="D37" s="24">
        <f>18.808+2.211</f>
        <v>21.018999999999998</v>
      </c>
      <c r="E37" s="24">
        <f>18.793+0.966+0.089</f>
        <v>19.847999999999999</v>
      </c>
      <c r="F37" s="24">
        <f>19.152+1.021</f>
        <v>20.173000000000002</v>
      </c>
      <c r="G37" s="24">
        <f>19.607+0.521</f>
        <v>20.128</v>
      </c>
      <c r="H37" s="24">
        <f>20.654+0.921</f>
        <v>21.574999999999999</v>
      </c>
      <c r="I37" s="38">
        <f>H37</f>
        <v>21.574999999999999</v>
      </c>
      <c r="J37" s="38">
        <f t="shared" ref="J37:M37" si="21">I37</f>
        <v>21.574999999999999</v>
      </c>
      <c r="K37" s="38">
        <f t="shared" si="21"/>
        <v>21.574999999999999</v>
      </c>
      <c r="L37" s="38">
        <f t="shared" si="21"/>
        <v>21.574999999999999</v>
      </c>
      <c r="M37" s="38">
        <f t="shared" si="21"/>
        <v>21.574999999999999</v>
      </c>
    </row>
    <row r="38" spans="2:13 16381:16384" x14ac:dyDescent="0.25">
      <c r="B38" s="9" t="s">
        <v>27</v>
      </c>
      <c r="C38" s="25">
        <f t="shared" ref="C38:H38" si="22">SUM(C35:C37)</f>
        <v>62.3</v>
      </c>
      <c r="D38" s="25">
        <f t="shared" si="22"/>
        <v>71.817999999999998</v>
      </c>
      <c r="E38" s="25">
        <f t="shared" si="22"/>
        <v>69.344999999999999</v>
      </c>
      <c r="F38" s="25">
        <f t="shared" si="22"/>
        <v>65.253</v>
      </c>
      <c r="G38" s="25">
        <f>SUM(G35:G37)</f>
        <v>64.619</v>
      </c>
      <c r="H38" s="25">
        <f t="shared" si="22"/>
        <v>66.927999999999997</v>
      </c>
      <c r="I38" s="35">
        <f>SUM(I35:I37)</f>
        <v>66.117760249267278</v>
      </c>
      <c r="J38" s="35">
        <f t="shared" ref="J38:M38" si="23">SUM(J35:J37)</f>
        <v>66.491421469977354</v>
      </c>
      <c r="K38" s="35">
        <f t="shared" si="23"/>
        <v>66.952056952109928</v>
      </c>
      <c r="L38" s="35">
        <f t="shared" si="23"/>
        <v>67.50227268098746</v>
      </c>
      <c r="M38" s="35">
        <f t="shared" si="23"/>
        <v>68.145231717567455</v>
      </c>
    </row>
    <row r="39" spans="2:13 16381:16384" x14ac:dyDescent="0.25">
      <c r="B39" s="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2:13 16381:16384" x14ac:dyDescent="0.25">
      <c r="B40" s="7" t="s">
        <v>15</v>
      </c>
      <c r="C40" s="23">
        <f>44.07+3.009</f>
        <v>47.079000000000001</v>
      </c>
      <c r="D40" s="23">
        <f>38.394+3.023</f>
        <v>41.417000000000002</v>
      </c>
      <c r="E40" s="23">
        <f>41.771+2.788</f>
        <v>44.558999999999997</v>
      </c>
      <c r="F40" s="23">
        <f>40.889+2.606</f>
        <v>43.495000000000005</v>
      </c>
      <c r="G40" s="3">
        <f>38.214+5.816</f>
        <v>44.03</v>
      </c>
      <c r="H40" s="3">
        <f>36.015+6.003</f>
        <v>42.018000000000001</v>
      </c>
      <c r="I40" s="34">
        <f>H40+'Key ratios'!I24-'Key ratios'!I25</f>
        <v>38.868000000000002</v>
      </c>
      <c r="J40" s="34">
        <f>I40+'Key ratios'!J24-'Key ratios'!J25</f>
        <v>36.036500000000004</v>
      </c>
      <c r="K40" s="34">
        <f>J40+'Key ratios'!K24-'Key ratios'!K25</f>
        <v>33.205000000000005</v>
      </c>
      <c r="L40" s="34">
        <f>K40+'Key ratios'!L24-'Key ratios'!L25</f>
        <v>30.310500000000005</v>
      </c>
      <c r="M40" s="34">
        <f>L40+'Key ratios'!M24-'Key ratios'!M25</f>
        <v>27.416000000000004</v>
      </c>
    </row>
    <row r="41" spans="2:13 16381:16384" x14ac:dyDescent="0.25">
      <c r="B41" s="7" t="s">
        <v>30</v>
      </c>
      <c r="C41" s="23">
        <f>7.862+0.404</f>
        <v>8.266</v>
      </c>
      <c r="D41" s="23">
        <f>7.613+0.519</f>
        <v>8.1319999999999997</v>
      </c>
      <c r="E41" s="23">
        <f>8.017+1.491</f>
        <v>9.5079999999999991</v>
      </c>
      <c r="F41" s="23">
        <f>8.805</f>
        <v>8.8049999999999997</v>
      </c>
      <c r="G41" s="3">
        <f>7.321</f>
        <v>7.3209999999999997</v>
      </c>
      <c r="H41" s="3">
        <v>9.3439999999999994</v>
      </c>
      <c r="I41" s="34">
        <f>H41</f>
        <v>9.3439999999999994</v>
      </c>
      <c r="J41" s="34">
        <f t="shared" ref="J41:M41" si="24">I41</f>
        <v>9.3439999999999994</v>
      </c>
      <c r="K41" s="34">
        <f t="shared" si="24"/>
        <v>9.3439999999999994</v>
      </c>
      <c r="L41" s="34">
        <f t="shared" si="24"/>
        <v>9.3439999999999994</v>
      </c>
      <c r="M41" s="34">
        <f t="shared" si="24"/>
        <v>9.3439999999999994</v>
      </c>
    </row>
    <row r="42" spans="2:13 16381:16384" x14ac:dyDescent="0.25">
      <c r="B42" s="7"/>
      <c r="C42" s="23"/>
      <c r="D42" s="23"/>
      <c r="E42" s="23"/>
      <c r="F42" s="23"/>
      <c r="G42" s="3"/>
      <c r="H42" s="3"/>
      <c r="I42" s="3"/>
      <c r="J42" s="3"/>
      <c r="K42" s="3"/>
      <c r="L42" s="3"/>
      <c r="M42" s="3"/>
      <c r="XFA42" s="34"/>
      <c r="XFB42" s="34"/>
      <c r="XFC42" s="34"/>
      <c r="XFD42" s="34"/>
    </row>
    <row r="43" spans="2:13 16381:16384" x14ac:dyDescent="0.25">
      <c r="B43" s="7" t="s">
        <v>39</v>
      </c>
      <c r="C43" s="23">
        <v>4.4459999999999997</v>
      </c>
      <c r="D43" s="23">
        <v>5.3949999999999996</v>
      </c>
      <c r="E43" s="23">
        <v>5.0839999999999996</v>
      </c>
      <c r="F43" s="23">
        <v>4.5430000000000001</v>
      </c>
      <c r="G43" s="3">
        <v>3.0649999999999999</v>
      </c>
      <c r="H43" s="3">
        <v>2.7370000000000001</v>
      </c>
      <c r="I43" s="34">
        <f>H43+I18</f>
        <v>3.375438217475712</v>
      </c>
      <c r="J43" s="34">
        <f t="shared" ref="J43:M43" si="25">I43+J18</f>
        <v>3.9923795984257824</v>
      </c>
      <c r="K43" s="34">
        <f t="shared" si="25"/>
        <v>4.5866707027067912</v>
      </c>
      <c r="L43" s="34">
        <f t="shared" si="25"/>
        <v>5.1591193237052284</v>
      </c>
      <c r="M43" s="34">
        <f t="shared" si="25"/>
        <v>5.7104759917296448</v>
      </c>
    </row>
    <row r="44" spans="2:13 16381:16384" x14ac:dyDescent="0.25">
      <c r="B44" s="7" t="s">
        <v>16</v>
      </c>
      <c r="C44" s="23">
        <v>71.314999999999998</v>
      </c>
      <c r="D44" s="23">
        <f>76.343</f>
        <v>76.343000000000004</v>
      </c>
      <c r="E44" s="23">
        <v>76.254999999999995</v>
      </c>
      <c r="F44" s="23">
        <v>81.394000000000005</v>
      </c>
      <c r="G44" s="3">
        <v>80.546000000000006</v>
      </c>
      <c r="H44" s="3">
        <v>77.798000000000002</v>
      </c>
      <c r="I44" s="34">
        <f>H44+I19-'Key ratios'!I27-'Key ratios'!I28</f>
        <v>83.319327078494069</v>
      </c>
      <c r="J44" s="34">
        <f>I44+J19-'Key ratios'!J27-'Key ratios'!J28</f>
        <v>88.389452094343014</v>
      </c>
      <c r="K44" s="34">
        <f>J44+K19-'Key ratios'!K27-'Key ratios'!K28</f>
        <v>92.984165226198101</v>
      </c>
      <c r="L44" s="34">
        <f>K44+L19-'Key ratios'!L27-'Key ratios'!L28</f>
        <v>97.120421435862227</v>
      </c>
      <c r="M44" s="34">
        <f>L44+M19-'Key ratios'!M27-'Key ratios'!M28</f>
        <v>100.81397377718086</v>
      </c>
    </row>
    <row r="45" spans="2:13 16381:16384" ht="15.75" thickBot="1" x14ac:dyDescent="0.3">
      <c r="B45" s="10" t="s">
        <v>19</v>
      </c>
      <c r="C45" s="5">
        <f t="shared" ref="C45:H45" si="26">C44+C40+C41+C38+C43</f>
        <v>193.40600000000001</v>
      </c>
      <c r="D45" s="5">
        <f t="shared" si="26"/>
        <v>203.10500000000002</v>
      </c>
      <c r="E45" s="5">
        <f t="shared" si="26"/>
        <v>204.751</v>
      </c>
      <c r="F45" s="5">
        <f t="shared" si="26"/>
        <v>203.49</v>
      </c>
      <c r="G45" s="5">
        <f t="shared" si="26"/>
        <v>199.58100000000002</v>
      </c>
      <c r="H45" s="5">
        <f t="shared" si="26"/>
        <v>198.82499999999999</v>
      </c>
      <c r="I45" s="40">
        <f>SUM(I38,I40:I41,I43:I44)</f>
        <v>201.02452554523705</v>
      </c>
      <c r="J45" s="40">
        <f t="shared" ref="J45:M45" si="27">SUM(J38,J40:J41,J43:J44)</f>
        <v>204.25375316274614</v>
      </c>
      <c r="K45" s="40">
        <f t="shared" si="27"/>
        <v>207.07189288101483</v>
      </c>
      <c r="L45" s="40">
        <f t="shared" si="27"/>
        <v>209.4363134405549</v>
      </c>
      <c r="M45" s="40">
        <f t="shared" si="27"/>
        <v>211.42968148647799</v>
      </c>
    </row>
    <row r="46" spans="2:13 16381:16384" ht="15.75" thickTop="1" x14ac:dyDescent="0.25">
      <c r="B46" s="14" t="s">
        <v>21</v>
      </c>
      <c r="C46" s="2" t="b">
        <f>C45=C32</f>
        <v>1</v>
      </c>
      <c r="D46" s="2" t="b">
        <f t="shared" ref="D46:M46" si="28">D45=D32</f>
        <v>1</v>
      </c>
      <c r="E46" s="2" t="b">
        <f t="shared" si="28"/>
        <v>1</v>
      </c>
      <c r="F46" s="2" t="b">
        <f t="shared" si="28"/>
        <v>1</v>
      </c>
      <c r="G46" s="2" t="b">
        <f t="shared" si="28"/>
        <v>1</v>
      </c>
      <c r="H46" s="2" t="b">
        <f t="shared" si="28"/>
        <v>1</v>
      </c>
      <c r="I46" s="2" t="b">
        <f t="shared" si="28"/>
        <v>1</v>
      </c>
      <c r="J46" s="2" t="b">
        <f t="shared" si="28"/>
        <v>1</v>
      </c>
      <c r="K46" s="2" t="b">
        <f t="shared" si="28"/>
        <v>1</v>
      </c>
      <c r="L46" s="2" t="b">
        <f t="shared" si="28"/>
        <v>1</v>
      </c>
      <c r="M46" s="2" t="b">
        <f t="shared" si="28"/>
        <v>1</v>
      </c>
    </row>
    <row r="47" spans="2:13 16381:16384" x14ac:dyDescent="0.25"/>
    <row r="67" spans="2:13" hidden="1" x14ac:dyDescent="0.25">
      <c r="B67" s="13"/>
      <c r="C67" s="16"/>
      <c r="D67" s="16"/>
      <c r="E67" s="16"/>
      <c r="F67" s="16"/>
      <c r="G67" s="20"/>
      <c r="H67" s="20"/>
      <c r="I67" s="20"/>
      <c r="J67" s="20"/>
      <c r="K67" s="20"/>
      <c r="L67" s="20"/>
      <c r="M67" s="20"/>
    </row>
  </sheetData>
  <mergeCells count="2">
    <mergeCell ref="I4:M4"/>
    <mergeCell ref="C4:H4"/>
  </mergeCells>
  <pageMargins left="0.7" right="0.7" top="0.75" bottom="0.75" header="0.3" footer="0.3"/>
  <pageSetup paperSize="9" orientation="portrait" r:id="rId1"/>
  <ignoredErrors>
    <ignoredError sqref="G14 C14:D1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showGridLines="0" zoomScale="130" zoomScaleNormal="130" workbookViewId="0">
      <pane xSplit="8" ySplit="5" topLeftCell="I12" activePane="bottomRight" state="frozen"/>
      <selection pane="topRight" activeCell="I1" sqref="I1"/>
      <selection pane="bottomLeft" activeCell="A6" sqref="A6"/>
      <selection pane="bottomRight" activeCell="J24" sqref="J24"/>
    </sheetView>
  </sheetViews>
  <sheetFormatPr defaultColWidth="0" defaultRowHeight="15" zeroHeight="1" x14ac:dyDescent="0.25"/>
  <cols>
    <col min="1" max="1" width="4" customWidth="1"/>
    <col min="2" max="2" width="49" bestFit="1" customWidth="1"/>
    <col min="3" max="8" width="9.140625" hidden="1" customWidth="1"/>
    <col min="9" max="13" width="9.140625" customWidth="1"/>
    <col min="14" max="14" width="2.85546875" customWidth="1"/>
  </cols>
  <sheetData>
    <row r="1" spans="1:13" s="1" customFormat="1" x14ac:dyDescent="0.25">
      <c r="A1" s="1" t="s">
        <v>46</v>
      </c>
      <c r="B1"/>
    </row>
    <row r="2" spans="1:13" s="11" customFormat="1" x14ac:dyDescent="0.25">
      <c r="A2" t="s">
        <v>91</v>
      </c>
      <c r="B2"/>
    </row>
    <row r="3" spans="1:13" s="11" customFormat="1" x14ac:dyDescent="0.25">
      <c r="A3" t="s">
        <v>90</v>
      </c>
      <c r="B3"/>
    </row>
    <row r="4" spans="1:13" x14ac:dyDescent="0.25"/>
    <row r="5" spans="1:13" x14ac:dyDescent="0.25">
      <c r="B5" s="6" t="s">
        <v>70</v>
      </c>
      <c r="C5" s="18"/>
      <c r="D5" s="18"/>
      <c r="E5" s="18"/>
      <c r="F5" s="18"/>
      <c r="G5" s="4"/>
      <c r="H5" s="4"/>
      <c r="I5" s="4" t="str">
        <f>'Forecasted IS and BS'!I5</f>
        <v>2018E</v>
      </c>
      <c r="J5" s="4" t="str">
        <f>'Forecasted IS and BS'!J5</f>
        <v>2019E</v>
      </c>
      <c r="K5" s="4" t="str">
        <f>'Forecasted IS and BS'!K5</f>
        <v>2020E</v>
      </c>
      <c r="L5" s="4" t="str">
        <f>'Forecasted IS and BS'!L5</f>
        <v>2021E</v>
      </c>
      <c r="M5" s="4" t="str">
        <f>'Forecasted IS and BS'!M5</f>
        <v>2022E</v>
      </c>
    </row>
    <row r="6" spans="1:13" x14ac:dyDescent="0.25">
      <c r="B6" s="41" t="s">
        <v>71</v>
      </c>
      <c r="C6" s="42"/>
      <c r="D6" s="42"/>
      <c r="E6" s="42"/>
      <c r="F6" s="42"/>
      <c r="G6" s="43"/>
      <c r="H6" s="43"/>
      <c r="I6" s="68">
        <f>SUM(I7:I11)-SUM(I12:I14)</f>
        <v>25.901302698500597</v>
      </c>
      <c r="J6" s="68">
        <f t="shared" ref="J6:M6" si="0">SUM(J7:J11)-SUM(J12:J14)</f>
        <v>25.47381908212655</v>
      </c>
      <c r="K6" s="68">
        <f t="shared" si="0"/>
        <v>25.098335575512365</v>
      </c>
      <c r="L6" s="68">
        <f t="shared" si="0"/>
        <v>24.752001179769589</v>
      </c>
      <c r="M6" s="68">
        <f t="shared" si="0"/>
        <v>24.431305282704741</v>
      </c>
    </row>
    <row r="7" spans="1:13" x14ac:dyDescent="0.25">
      <c r="B7" s="32" t="s">
        <v>92</v>
      </c>
      <c r="C7" s="44"/>
      <c r="D7" s="44"/>
      <c r="E7" s="44"/>
      <c r="F7" s="44"/>
      <c r="G7" s="2"/>
      <c r="H7" s="2"/>
      <c r="I7" s="34">
        <f>'Forecasted IS and BS'!I15</f>
        <v>14.03876529596978</v>
      </c>
      <c r="J7" s="34">
        <f>'Forecasted IS and BS'!J15</f>
        <v>13.566066396799016</v>
      </c>
      <c r="K7" s="34">
        <f>'Forecasted IS and BS'!K15</f>
        <v>13.068004236136106</v>
      </c>
      <c r="L7" s="34">
        <f>'Forecasted IS and BS'!L15</f>
        <v>12.587704830662574</v>
      </c>
      <c r="M7" s="34">
        <f>'Forecasted IS and BS'!M15</f>
        <v>12.123909009343052</v>
      </c>
    </row>
    <row r="8" spans="1:13" x14ac:dyDescent="0.25">
      <c r="B8" s="7" t="s">
        <v>104</v>
      </c>
      <c r="C8" s="20"/>
      <c r="D8" s="20"/>
      <c r="E8" s="20"/>
      <c r="F8" s="20"/>
      <c r="G8" s="2"/>
      <c r="H8" s="2"/>
      <c r="I8" s="34">
        <f>'Forecasted IS and BS'!I10</f>
        <v>9.8777355899618939</v>
      </c>
      <c r="J8" s="34">
        <f>'Forecasted IS and BS'!J10</f>
        <v>10.059064739272099</v>
      </c>
      <c r="K8" s="34">
        <f>'Forecasted IS and BS'!K10</f>
        <v>10.263280998703612</v>
      </c>
      <c r="L8" s="34">
        <f>'Forecasted IS and BS'!L10</f>
        <v>10.491608211160754</v>
      </c>
      <c r="M8" s="34">
        <f>'Forecasted IS and BS'!M10</f>
        <v>10.745433721450031</v>
      </c>
    </row>
    <row r="9" spans="1:13" x14ac:dyDescent="0.25">
      <c r="B9" s="7" t="s">
        <v>72</v>
      </c>
      <c r="C9" s="20"/>
      <c r="D9" s="20"/>
      <c r="E9" s="20"/>
      <c r="F9" s="20"/>
      <c r="G9" s="2"/>
      <c r="H9" s="2"/>
      <c r="I9" s="34">
        <f>'Forecasted IS and BS'!I12</f>
        <v>2.1732895587800298</v>
      </c>
      <c r="J9" s="34">
        <f>'Forecasted IS and BS'!J12</f>
        <v>2.0556508115281611</v>
      </c>
      <c r="K9" s="34">
        <f>'Forecasted IS and BS'!K12</f>
        <v>1.9937468407482914</v>
      </c>
      <c r="L9" s="34">
        <f>'Forecasted IS and BS'!L12</f>
        <v>1.9205168699684219</v>
      </c>
      <c r="M9" s="34">
        <f>'Forecasted IS and BS'!M12</f>
        <v>1.8324764202342412</v>
      </c>
    </row>
    <row r="10" spans="1:13" x14ac:dyDescent="0.25">
      <c r="B10" s="7" t="s">
        <v>73</v>
      </c>
      <c r="C10" s="20"/>
      <c r="D10" s="20"/>
      <c r="E10" s="20"/>
      <c r="F10" s="20"/>
      <c r="G10" s="2"/>
      <c r="H10" s="2"/>
      <c r="I10" s="34">
        <f>'Forecasted IS and BS'!I36-'Forecasted IS and BS'!H36</f>
        <v>0.28876024926728405</v>
      </c>
      <c r="J10" s="34">
        <f>'Forecasted IS and BS'!J36-'Forecasted IS and BS'!I36</f>
        <v>0.37366122071007624</v>
      </c>
      <c r="K10" s="34">
        <f>'Forecasted IS and BS'!K36-'Forecasted IS and BS'!J36</f>
        <v>0.46063548213256666</v>
      </c>
      <c r="L10" s="34">
        <f>'Forecasted IS and BS'!L36-'Forecasted IS and BS'!K36</f>
        <v>0.55021572887753223</v>
      </c>
      <c r="M10" s="34">
        <f>'Forecasted IS and BS'!M36-'Forecasted IS and BS'!L36</f>
        <v>0.64295903657999531</v>
      </c>
    </row>
    <row r="11" spans="1:13" x14ac:dyDescent="0.25">
      <c r="B11" s="7" t="s">
        <v>93</v>
      </c>
      <c r="C11" s="20"/>
      <c r="D11" s="20"/>
      <c r="E11" s="20"/>
      <c r="F11" s="20"/>
      <c r="G11" s="2"/>
      <c r="H11" s="2"/>
      <c r="I11" s="34">
        <f>'Forecasted IS and BS'!I37-'Forecasted IS and BS'!H37</f>
        <v>0</v>
      </c>
      <c r="J11" s="34">
        <f>'Forecasted IS and BS'!J37-'Forecasted IS and BS'!I37</f>
        <v>0</v>
      </c>
      <c r="K11" s="34">
        <f>'Forecasted IS and BS'!K37-'Forecasted IS and BS'!J37</f>
        <v>0</v>
      </c>
      <c r="L11" s="34">
        <f>'Forecasted IS and BS'!L37-'Forecasted IS and BS'!K37</f>
        <v>0</v>
      </c>
      <c r="M11" s="34">
        <f>'Forecasted IS and BS'!M37-'Forecasted IS and BS'!L37</f>
        <v>0</v>
      </c>
    </row>
    <row r="12" spans="1:13" x14ac:dyDescent="0.25">
      <c r="B12" s="7" t="s">
        <v>74</v>
      </c>
      <c r="C12" s="20"/>
      <c r="D12" s="20"/>
      <c r="E12" s="20"/>
      <c r="F12" s="20"/>
      <c r="G12" s="2"/>
      <c r="H12" s="2"/>
      <c r="I12" s="34">
        <f>'Forecasted IS and BS'!I24-'Forecasted IS and BS'!H24</f>
        <v>0.42027816970526288</v>
      </c>
      <c r="J12" s="34">
        <f>'Forecasted IS and BS'!J24-'Forecasted IS and BS'!I24</f>
        <v>0.51131409778492554</v>
      </c>
      <c r="K12" s="34">
        <f>'Forecasted IS and BS'!K24-'Forecasted IS and BS'!J24</f>
        <v>0.60528410847025782</v>
      </c>
      <c r="L12" s="34">
        <f>'Forecasted IS and BS'!L24-'Forecasted IS and BS'!K24</f>
        <v>0.70278066864197086</v>
      </c>
      <c r="M12" s="34">
        <f>'Forecasted IS and BS'!M24-'Forecasted IS and BS'!L24</f>
        <v>0.80443024210708103</v>
      </c>
    </row>
    <row r="13" spans="1:13" x14ac:dyDescent="0.25">
      <c r="B13" s="7" t="s">
        <v>75</v>
      </c>
      <c r="C13" s="20"/>
      <c r="D13" s="20"/>
      <c r="E13" s="20"/>
      <c r="F13" s="20"/>
      <c r="G13" s="2"/>
      <c r="H13" s="2"/>
      <c r="I13" s="34">
        <f>'Forecasted IS and BS'!I23-'Forecasted IS and BS'!H23</f>
        <v>5.6969825773131255E-2</v>
      </c>
      <c r="J13" s="34">
        <f>'Forecasted IS and BS'!J23-'Forecasted IS and BS'!I23</f>
        <v>6.9309988397876943E-2</v>
      </c>
      <c r="K13" s="34">
        <f>'Forecasted IS and BS'!K23-'Forecasted IS and BS'!J23</f>
        <v>8.2047873737954191E-2</v>
      </c>
      <c r="L13" s="34">
        <f>'Forecasted IS and BS'!L23-'Forecasted IS and BS'!K23</f>
        <v>9.5263792257721747E-2</v>
      </c>
      <c r="M13" s="34">
        <f>'Forecasted IS and BS'!M23-'Forecasted IS and BS'!L23</f>
        <v>0.10904266279549368</v>
      </c>
    </row>
    <row r="14" spans="1:13" x14ac:dyDescent="0.25">
      <c r="B14" s="7" t="s">
        <v>94</v>
      </c>
      <c r="C14" s="20"/>
      <c r="D14" s="20"/>
      <c r="E14" s="20"/>
      <c r="F14" s="20"/>
      <c r="G14" s="2"/>
      <c r="H14" s="2"/>
      <c r="I14" s="34">
        <f>'Forecasted IS and BS'!I25-'Forecasted IS and BS'!H25</f>
        <v>0</v>
      </c>
      <c r="J14" s="34">
        <f>'Forecasted IS and BS'!J25-'Forecasted IS and BS'!I25</f>
        <v>0</v>
      </c>
      <c r="K14" s="34">
        <f>'Forecasted IS and BS'!K25-'Forecasted IS and BS'!J25</f>
        <v>0</v>
      </c>
      <c r="L14" s="34">
        <f>'Forecasted IS and BS'!L25-'Forecasted IS and BS'!K25</f>
        <v>0</v>
      </c>
      <c r="M14" s="34">
        <f>'Forecasted IS and BS'!M25-'Forecasted IS and BS'!L25</f>
        <v>0</v>
      </c>
    </row>
    <row r="15" spans="1:13" x14ac:dyDescent="0.25">
      <c r="B15" s="7"/>
      <c r="C15" s="20"/>
      <c r="D15" s="20"/>
      <c r="E15" s="20"/>
      <c r="F15" s="20"/>
      <c r="G15" s="2"/>
      <c r="H15" s="2"/>
    </row>
    <row r="16" spans="1:13" x14ac:dyDescent="0.25">
      <c r="B16" s="41" t="s">
        <v>76</v>
      </c>
      <c r="C16" s="42"/>
      <c r="D16" s="42"/>
      <c r="E16" s="42"/>
      <c r="F16" s="42"/>
      <c r="G16" s="43"/>
      <c r="H16" s="43"/>
      <c r="I16" s="68">
        <f>-(I17+I18)</f>
        <v>-11.973742252762285</v>
      </c>
      <c r="J16" s="68">
        <f t="shared" ref="J16:M16" si="1">-(J17+J18)</f>
        <v>-12.419626414264382</v>
      </c>
      <c r="K16" s="68">
        <f t="shared" si="1"/>
        <v>-12.902544241427455</v>
      </c>
      <c r="L16" s="68">
        <f t="shared" si="1"/>
        <v>-13.425609516405318</v>
      </c>
      <c r="M16" s="68">
        <f t="shared" si="1"/>
        <v>-13.992260409736975</v>
      </c>
    </row>
    <row r="17" spans="2:13" x14ac:dyDescent="0.25">
      <c r="B17" s="7" t="s">
        <v>77</v>
      </c>
      <c r="C17" s="20"/>
      <c r="D17" s="20"/>
      <c r="E17" s="20"/>
      <c r="F17" s="20"/>
      <c r="G17" s="2"/>
      <c r="H17" s="2"/>
      <c r="I17" s="34">
        <f>'Forecasted IS and BS'!I29-'Forecasted IS and BS'!H29+'Forecasted IS and BS'!I10</f>
        <v>11.973742252762285</v>
      </c>
      <c r="J17" s="34">
        <f>'Forecasted IS and BS'!J29-'Forecasted IS and BS'!I29+'Forecasted IS and BS'!J10</f>
        <v>12.419626414264382</v>
      </c>
      <c r="K17" s="34">
        <f>'Forecasted IS and BS'!K29-'Forecasted IS and BS'!J29+'Forecasted IS and BS'!K10</f>
        <v>12.902544241427455</v>
      </c>
      <c r="L17" s="34">
        <f>'Forecasted IS and BS'!L29-'Forecasted IS and BS'!K29+'Forecasted IS and BS'!L10</f>
        <v>13.425609516405318</v>
      </c>
      <c r="M17" s="34">
        <f>'Forecasted IS and BS'!M29-'Forecasted IS and BS'!L29+'Forecasted IS and BS'!M10</f>
        <v>13.992260409736975</v>
      </c>
    </row>
    <row r="18" spans="2:13" x14ac:dyDescent="0.25">
      <c r="B18" s="7" t="s">
        <v>105</v>
      </c>
      <c r="C18" s="20"/>
      <c r="D18" s="20"/>
      <c r="E18" s="20"/>
      <c r="F18" s="20"/>
      <c r="G18" s="2"/>
      <c r="H18" s="2"/>
      <c r="I18" s="34">
        <f>'Forecasted IS and BS'!I30-'Forecasted IS and BS'!H30</f>
        <v>0</v>
      </c>
      <c r="J18" s="34">
        <f>'Forecasted IS and BS'!J30-'Forecasted IS and BS'!I30</f>
        <v>0</v>
      </c>
      <c r="K18" s="34">
        <f>'Forecasted IS and BS'!K30-'Forecasted IS and BS'!J30</f>
        <v>0</v>
      </c>
      <c r="L18" s="34">
        <f>'Forecasted IS and BS'!L30-'Forecasted IS and BS'!K30</f>
        <v>0</v>
      </c>
      <c r="M18" s="34">
        <f>'Forecasted IS and BS'!M30-'Forecasted IS and BS'!L30</f>
        <v>0</v>
      </c>
    </row>
    <row r="19" spans="2:13" x14ac:dyDescent="0.25">
      <c r="B19" s="7"/>
      <c r="C19" s="20"/>
      <c r="D19" s="20"/>
      <c r="E19" s="20"/>
      <c r="F19" s="20"/>
      <c r="G19" s="2"/>
      <c r="H19" s="2"/>
      <c r="I19" s="1"/>
      <c r="J19" s="1"/>
      <c r="K19" s="1"/>
      <c r="L19" s="1"/>
      <c r="M19" s="1"/>
    </row>
    <row r="20" spans="2:13" x14ac:dyDescent="0.25">
      <c r="B20" s="41" t="s">
        <v>78</v>
      </c>
      <c r="C20" s="42"/>
      <c r="D20" s="42"/>
      <c r="E20" s="42"/>
      <c r="F20" s="42"/>
      <c r="G20" s="43"/>
      <c r="H20" s="43"/>
      <c r="I20" s="68">
        <f>SUM(I21:I22)-SUM(I23:I27)</f>
        <v>-14.301289558780029</v>
      </c>
      <c r="J20" s="68">
        <f t="shared" ref="J20:M20" si="2">SUM(J21:J22)-SUM(J23:J27)</f>
        <v>-12.76615081152816</v>
      </c>
      <c r="K20" s="68">
        <f t="shared" si="2"/>
        <v>-12.70424684074829</v>
      </c>
      <c r="L20" s="68">
        <f t="shared" si="2"/>
        <v>-12.694016869968422</v>
      </c>
      <c r="M20" s="68">
        <f t="shared" si="2"/>
        <v>-12.60597642023424</v>
      </c>
    </row>
    <row r="21" spans="2:13" x14ac:dyDescent="0.25">
      <c r="B21" s="7" t="s">
        <v>95</v>
      </c>
      <c r="C21" s="20"/>
      <c r="D21" s="20"/>
      <c r="E21" s="20"/>
      <c r="F21" s="20"/>
      <c r="G21" s="2"/>
      <c r="H21" s="2"/>
      <c r="I21" s="34">
        <f>'Key ratios'!I21</f>
        <v>0</v>
      </c>
      <c r="J21" s="34">
        <f>'Key ratios'!J21</f>
        <v>0</v>
      </c>
      <c r="K21" s="34">
        <f>'Key ratios'!K21</f>
        <v>0</v>
      </c>
      <c r="L21" s="34">
        <f>'Key ratios'!L21</f>
        <v>0</v>
      </c>
      <c r="M21" s="34">
        <f>'Key ratios'!M21</f>
        <v>0</v>
      </c>
    </row>
    <row r="22" spans="2:13" x14ac:dyDescent="0.25">
      <c r="B22" s="7" t="s">
        <v>96</v>
      </c>
      <c r="C22" s="20"/>
      <c r="D22" s="20"/>
      <c r="E22" s="20"/>
      <c r="F22" s="20"/>
      <c r="G22" s="2"/>
      <c r="H22" s="2"/>
      <c r="I22" s="34">
        <f>'Key ratios'!I24</f>
        <v>0</v>
      </c>
      <c r="J22" s="34">
        <f>'Key ratios'!J24</f>
        <v>0</v>
      </c>
      <c r="K22" s="34">
        <f>'Key ratios'!K24</f>
        <v>0</v>
      </c>
      <c r="L22" s="34">
        <f>'Key ratios'!L24</f>
        <v>0</v>
      </c>
      <c r="M22" s="34">
        <f>'Key ratios'!M24</f>
        <v>0</v>
      </c>
    </row>
    <row r="23" spans="2:13" x14ac:dyDescent="0.25">
      <c r="B23" s="7" t="s">
        <v>79</v>
      </c>
      <c r="C23" s="20"/>
      <c r="D23" s="20"/>
      <c r="E23" s="20"/>
      <c r="F23" s="20"/>
      <c r="G23" s="2"/>
      <c r="H23" s="2"/>
      <c r="I23" s="34">
        <f>'Forecasted IS and BS'!I12</f>
        <v>2.1732895587800298</v>
      </c>
      <c r="J23" s="34">
        <f>'Forecasted IS and BS'!J12</f>
        <v>2.0556508115281611</v>
      </c>
      <c r="K23" s="34">
        <f>'Forecasted IS and BS'!K12</f>
        <v>1.9937468407482914</v>
      </c>
      <c r="L23" s="34">
        <f>'Forecasted IS and BS'!L12</f>
        <v>1.9205168699684219</v>
      </c>
      <c r="M23" s="34">
        <f>'Forecasted IS and BS'!M12</f>
        <v>1.8324764202342412</v>
      </c>
    </row>
    <row r="24" spans="2:13" x14ac:dyDescent="0.25">
      <c r="B24" s="7" t="s">
        <v>97</v>
      </c>
      <c r="C24" s="20"/>
      <c r="D24" s="20"/>
      <c r="E24" s="20"/>
      <c r="F24" s="20"/>
      <c r="G24" s="2"/>
      <c r="H24" s="2"/>
      <c r="I24" s="34">
        <f>'Key ratios'!I22</f>
        <v>1.099</v>
      </c>
      <c r="J24" s="34">
        <f>'Key ratios'!J22</f>
        <v>0</v>
      </c>
      <c r="K24" s="34">
        <f>'Key ratios'!K22</f>
        <v>0</v>
      </c>
      <c r="L24" s="34">
        <f>'Key ratios'!L22</f>
        <v>0</v>
      </c>
      <c r="M24" s="34">
        <f>'Key ratios'!M22</f>
        <v>0</v>
      </c>
    </row>
    <row r="25" spans="2:13" x14ac:dyDescent="0.25">
      <c r="B25" s="7" t="s">
        <v>98</v>
      </c>
      <c r="C25" s="20"/>
      <c r="D25" s="20"/>
      <c r="E25" s="20"/>
      <c r="F25" s="20"/>
      <c r="G25" s="2"/>
      <c r="H25" s="2"/>
      <c r="I25" s="34">
        <f>'Key ratios'!I25</f>
        <v>3.15</v>
      </c>
      <c r="J25" s="34">
        <f>'Key ratios'!J25</f>
        <v>2.8315000000000001</v>
      </c>
      <c r="K25" s="34">
        <f>'Key ratios'!K25</f>
        <v>2.8315000000000001</v>
      </c>
      <c r="L25" s="34">
        <f>'Key ratios'!L25</f>
        <v>2.8944999999999999</v>
      </c>
      <c r="M25" s="34">
        <f>'Key ratios'!M25</f>
        <v>2.8944999999999999</v>
      </c>
    </row>
    <row r="26" spans="2:13" s="21" customFormat="1" x14ac:dyDescent="0.25">
      <c r="B26" s="14" t="s">
        <v>99</v>
      </c>
      <c r="C26" s="67"/>
      <c r="D26" s="67"/>
      <c r="E26" s="67"/>
      <c r="F26" s="67"/>
      <c r="G26" s="47"/>
      <c r="H26" s="47"/>
      <c r="I26" s="34">
        <f>'Key ratios'!I27</f>
        <v>6.0389999999999997</v>
      </c>
      <c r="J26" s="34">
        <f>'Key ratios'!J27</f>
        <v>6.0389999999999997</v>
      </c>
      <c r="K26" s="34">
        <f>'Key ratios'!K27</f>
        <v>6.0389999999999997</v>
      </c>
      <c r="L26" s="34">
        <f>'Key ratios'!L27</f>
        <v>6.0389999999999997</v>
      </c>
      <c r="M26" s="34">
        <f>'Key ratios'!M27</f>
        <v>6.0389999999999997</v>
      </c>
    </row>
    <row r="27" spans="2:13" x14ac:dyDescent="0.25">
      <c r="B27" s="7" t="s">
        <v>100</v>
      </c>
      <c r="C27" s="20"/>
      <c r="D27" s="20"/>
      <c r="E27" s="20"/>
      <c r="F27" s="20"/>
      <c r="G27" s="2"/>
      <c r="H27" s="2"/>
      <c r="I27" s="34">
        <f>'Key ratios'!I28</f>
        <v>1.8399999999999999</v>
      </c>
      <c r="J27" s="34">
        <f>'Key ratios'!J28</f>
        <v>1.8399999999999999</v>
      </c>
      <c r="K27" s="34">
        <f>'Key ratios'!K28</f>
        <v>1.8399999999999999</v>
      </c>
      <c r="L27" s="34">
        <f>'Key ratios'!L28</f>
        <v>1.8399999999999999</v>
      </c>
      <c r="M27" s="34">
        <f>'Key ratios'!M28</f>
        <v>1.8399999999999999</v>
      </c>
    </row>
    <row r="28" spans="2:13" x14ac:dyDescent="0.25">
      <c r="B28" s="7"/>
      <c r="C28" s="20"/>
      <c r="D28" s="20"/>
      <c r="E28" s="20"/>
      <c r="F28" s="20"/>
      <c r="G28" s="2"/>
      <c r="H28" s="2"/>
      <c r="I28" s="15"/>
      <c r="J28" s="15"/>
      <c r="K28" s="15"/>
      <c r="L28" s="15"/>
      <c r="M28" s="15"/>
    </row>
    <row r="29" spans="2:13" x14ac:dyDescent="0.25">
      <c r="B29" s="9" t="s">
        <v>80</v>
      </c>
      <c r="C29" s="16"/>
      <c r="D29" s="16"/>
      <c r="E29" s="16"/>
      <c r="F29" s="16"/>
      <c r="G29" s="2"/>
      <c r="H29" s="2"/>
      <c r="I29" s="94">
        <f>I6+I16+I20</f>
        <v>-0.3737291130417173</v>
      </c>
      <c r="J29" s="35">
        <f t="shared" ref="J29:M29" si="3">J6+J16+J20</f>
        <v>0.28804185633400792</v>
      </c>
      <c r="K29" s="35">
        <f t="shared" si="3"/>
        <v>-0.50845550666337935</v>
      </c>
      <c r="L29" s="35">
        <f t="shared" si="3"/>
        <v>-1.367625206604151</v>
      </c>
      <c r="M29" s="35">
        <f t="shared" si="3"/>
        <v>-2.1669315472664739</v>
      </c>
    </row>
    <row r="30" spans="2:13" x14ac:dyDescent="0.25">
      <c r="B30" s="7" t="s">
        <v>81</v>
      </c>
      <c r="C30" s="20"/>
      <c r="D30" s="20"/>
      <c r="E30" s="20"/>
      <c r="F30" s="20"/>
      <c r="G30" s="2"/>
      <c r="H30" s="2"/>
      <c r="I30" s="34">
        <f>'Forecasted IS and BS'!H22</f>
        <v>6.867</v>
      </c>
      <c r="J30" s="34">
        <f>I31</f>
        <v>6.4932708869582827</v>
      </c>
      <c r="K30" s="34">
        <f t="shared" ref="K30:M30" si="4">J31</f>
        <v>6.7813127432922906</v>
      </c>
      <c r="L30" s="34">
        <f t="shared" si="4"/>
        <v>6.2728572366289113</v>
      </c>
      <c r="M30" s="34">
        <f t="shared" si="4"/>
        <v>4.9052320300247603</v>
      </c>
    </row>
    <row r="31" spans="2:13" ht="15.75" thickBot="1" x14ac:dyDescent="0.3">
      <c r="B31" s="10" t="s">
        <v>82</v>
      </c>
      <c r="C31" s="45"/>
      <c r="D31" s="45"/>
      <c r="E31" s="45"/>
      <c r="F31" s="45"/>
      <c r="G31" s="46">
        <v>8.7050000000000001</v>
      </c>
      <c r="H31" s="46"/>
      <c r="I31" s="40">
        <f>I29+I30</f>
        <v>6.4932708869582827</v>
      </c>
      <c r="J31" s="40">
        <f>J29+J30</f>
        <v>6.7813127432922906</v>
      </c>
      <c r="K31" s="40">
        <f t="shared" ref="K31:M31" si="5">K29+K30</f>
        <v>6.2728572366289113</v>
      </c>
      <c r="L31" s="40">
        <f t="shared" si="5"/>
        <v>4.9052320300247603</v>
      </c>
      <c r="M31" s="40">
        <f t="shared" si="5"/>
        <v>2.7383004827582864</v>
      </c>
    </row>
    <row r="32" spans="2:13" ht="15.75" thickTop="1" x14ac:dyDescent="0.25"/>
    <row r="33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7"/>
  <sheetViews>
    <sheetView showGridLines="0" tabSelected="1" zoomScale="130" zoomScaleNormal="130" workbookViewId="0">
      <selection activeCell="A4" sqref="A4"/>
    </sheetView>
  </sheetViews>
  <sheetFormatPr defaultColWidth="0" defaultRowHeight="15" zeroHeight="1" x14ac:dyDescent="0.25"/>
  <cols>
    <col min="1" max="1" width="3.5703125" customWidth="1"/>
    <col min="2" max="2" width="39.140625" customWidth="1"/>
    <col min="3" max="6" width="12.5703125" hidden="1" customWidth="1"/>
    <col min="7" max="7" width="12" hidden="1" customWidth="1"/>
    <col min="8" max="13" width="13.42578125" customWidth="1"/>
    <col min="14" max="14" width="9.140625" customWidth="1"/>
    <col min="15" max="16384" width="9.140625" hidden="1"/>
  </cols>
  <sheetData>
    <row r="1" spans="1:13" x14ac:dyDescent="0.25">
      <c r="A1" s="1" t="s">
        <v>46</v>
      </c>
    </row>
    <row r="2" spans="1:13" x14ac:dyDescent="0.25">
      <c r="A2" t="s">
        <v>106</v>
      </c>
    </row>
    <row r="3" spans="1:13" ht="18.75" x14ac:dyDescent="0.3">
      <c r="A3" t="s">
        <v>90</v>
      </c>
      <c r="B3" s="95"/>
      <c r="C3" s="95"/>
      <c r="D3" s="95"/>
      <c r="E3" s="95"/>
      <c r="F3" s="95"/>
      <c r="G3" s="95"/>
    </row>
    <row r="4" spans="1:13" x14ac:dyDescent="0.25"/>
    <row r="5" spans="1:13" ht="15.75" x14ac:dyDescent="0.25">
      <c r="B5" s="96" t="s">
        <v>107</v>
      </c>
      <c r="C5" s="135"/>
      <c r="D5" s="135"/>
      <c r="E5" s="135"/>
      <c r="F5" s="135"/>
      <c r="G5" s="135"/>
      <c r="H5" s="98"/>
      <c r="I5" s="98"/>
      <c r="J5" s="98"/>
      <c r="K5" s="98"/>
      <c r="L5" s="98"/>
      <c r="M5" s="98"/>
    </row>
    <row r="6" spans="1:13" ht="15.75" x14ac:dyDescent="0.25">
      <c r="B6" s="97" t="s">
        <v>108</v>
      </c>
      <c r="C6" s="97"/>
      <c r="D6" s="97"/>
      <c r="E6" s="97"/>
      <c r="F6" s="97"/>
      <c r="G6" s="97"/>
      <c r="H6" s="99" t="s">
        <v>109</v>
      </c>
      <c r="I6" s="99" t="s">
        <v>110</v>
      </c>
      <c r="J6" s="99" t="s">
        <v>111</v>
      </c>
      <c r="K6" s="99" t="s">
        <v>112</v>
      </c>
      <c r="L6" s="99" t="s">
        <v>113</v>
      </c>
      <c r="M6" s="99" t="s">
        <v>114</v>
      </c>
    </row>
    <row r="7" spans="1:13" x14ac:dyDescent="0.25">
      <c r="B7" s="7" t="s">
        <v>1</v>
      </c>
      <c r="C7" s="100"/>
      <c r="D7" s="100"/>
      <c r="E7" s="100"/>
      <c r="F7" s="100"/>
      <c r="G7" s="100"/>
      <c r="H7" s="15"/>
      <c r="I7" s="34">
        <f>'Forecasted IS and BS'!I6</f>
        <v>490.61680465430481</v>
      </c>
      <c r="J7" s="34">
        <f>'Forecasted IS and BS'!J6</f>
        <v>496.38815889472329</v>
      </c>
      <c r="K7" s="34">
        <f>'Forecasted IS and BS'!K6</f>
        <v>503.22018058395736</v>
      </c>
      <c r="L7" s="34">
        <f>'Forecasted IS and BS'!L6</f>
        <v>511.15267493453769</v>
      </c>
      <c r="M7" s="34">
        <f>'Forecasted IS and BS'!M6</f>
        <v>520.2325182422386</v>
      </c>
    </row>
    <row r="8" spans="1:13" x14ac:dyDescent="0.25">
      <c r="B8" s="7" t="s">
        <v>115</v>
      </c>
      <c r="C8" s="100"/>
      <c r="D8" s="100"/>
      <c r="E8" s="100"/>
      <c r="F8" s="100"/>
      <c r="G8" s="100"/>
      <c r="H8" s="15"/>
      <c r="I8" s="34">
        <f>'Forecasted IS and BS'!I7+'Forecasted IS and BS'!I9</f>
        <v>458.43336697694804</v>
      </c>
      <c r="J8" s="34">
        <f>'Forecasted IS and BS'!J7+'Forecasted IS and BS'!J9</f>
        <v>464.81890875110213</v>
      </c>
      <c r="K8" s="34">
        <f>'Forecasted IS and BS'!K7+'Forecasted IS and BS'!K9</f>
        <v>472.22286849150873</v>
      </c>
      <c r="L8" s="34">
        <f>'Forecasted IS and BS'!L7+'Forecasted IS and BS'!L9</f>
        <v>480.6890431078624</v>
      </c>
      <c r="M8" s="34">
        <f>'Forecasted IS and BS'!M7+'Forecasted IS and BS'!M9</f>
        <v>490.26821175517517</v>
      </c>
    </row>
    <row r="9" spans="1:13" x14ac:dyDescent="0.25">
      <c r="B9" s="8" t="s">
        <v>116</v>
      </c>
      <c r="C9" s="101"/>
      <c r="D9" s="101"/>
      <c r="E9" s="101"/>
      <c r="F9" s="101"/>
      <c r="G9" s="101"/>
      <c r="H9" s="26"/>
      <c r="I9" s="38">
        <f>'Forecasted IS and BS'!I10</f>
        <v>9.8777355899618939</v>
      </c>
      <c r="J9" s="38">
        <f>'Forecasted IS and BS'!J10</f>
        <v>10.059064739272099</v>
      </c>
      <c r="K9" s="38">
        <f>'Forecasted IS and BS'!K10</f>
        <v>10.263280998703612</v>
      </c>
      <c r="L9" s="38">
        <f>'Forecasted IS and BS'!L10</f>
        <v>10.491608211160754</v>
      </c>
      <c r="M9" s="38">
        <f>'Forecasted IS and BS'!M10</f>
        <v>10.745433721450031</v>
      </c>
    </row>
    <row r="10" spans="1:13" x14ac:dyDescent="0.25">
      <c r="B10" s="9" t="s">
        <v>117</v>
      </c>
      <c r="C10" s="13"/>
      <c r="D10" s="13"/>
      <c r="E10" s="13"/>
      <c r="F10" s="13"/>
      <c r="G10" s="13"/>
      <c r="H10" s="12"/>
      <c r="I10" s="35">
        <f>I7-I8-I9</f>
        <v>22.305702087394884</v>
      </c>
      <c r="J10" s="35">
        <f t="shared" ref="J10:M10" si="0">J7-J8-J9</f>
        <v>21.510185404349063</v>
      </c>
      <c r="K10" s="35">
        <f t="shared" si="0"/>
        <v>20.73403109374501</v>
      </c>
      <c r="L10" s="35">
        <f t="shared" si="0"/>
        <v>19.97202361551453</v>
      </c>
      <c r="M10" s="35">
        <f t="shared" si="0"/>
        <v>19.218872765613394</v>
      </c>
    </row>
    <row r="11" spans="1:13" x14ac:dyDescent="0.25">
      <c r="B11" s="8" t="s">
        <v>118</v>
      </c>
      <c r="C11" s="101"/>
      <c r="D11" s="101"/>
      <c r="E11" s="101"/>
      <c r="F11" s="101"/>
      <c r="G11" s="101"/>
      <c r="H11" s="26"/>
      <c r="I11" s="38">
        <f>'Key ratios'!I11*Valuation!I10</f>
        <v>6.7514551275892956</v>
      </c>
      <c r="J11" s="38">
        <f>'Key ratios'!J11*Valuation!J10</f>
        <v>6.5106693783764209</v>
      </c>
      <c r="K11" s="38">
        <f>'Key ratios'!K11*Valuation!K10</f>
        <v>6.2757442018633931</v>
      </c>
      <c r="L11" s="38">
        <f>'Key ratios'!L11*Valuation!L10</f>
        <v>6.0451009665147133</v>
      </c>
      <c r="M11" s="38">
        <f>'Key ratios'!M11*Valuation!M10</f>
        <v>5.8171384416190381</v>
      </c>
    </row>
    <row r="12" spans="1:13" x14ac:dyDescent="0.25">
      <c r="B12" s="9" t="s">
        <v>147</v>
      </c>
      <c r="C12" s="13"/>
      <c r="D12" s="13"/>
      <c r="E12" s="13"/>
      <c r="F12" s="13"/>
      <c r="G12" s="13"/>
      <c r="H12" s="12"/>
      <c r="I12" s="35">
        <f>I10-I11</f>
        <v>15.554246959805589</v>
      </c>
      <c r="J12" s="35">
        <f t="shared" ref="J12:M12" si="1">J10-J11</f>
        <v>14.999516025972643</v>
      </c>
      <c r="K12" s="35">
        <f t="shared" si="1"/>
        <v>14.458286891881617</v>
      </c>
      <c r="L12" s="35">
        <f t="shared" si="1"/>
        <v>13.926922648999817</v>
      </c>
      <c r="M12" s="35">
        <f t="shared" si="1"/>
        <v>13.401734323994356</v>
      </c>
    </row>
    <row r="13" spans="1:13" x14ac:dyDescent="0.25">
      <c r="B13" s="8" t="s">
        <v>119</v>
      </c>
      <c r="C13" s="101"/>
      <c r="D13" s="101"/>
      <c r="E13" s="101"/>
      <c r="F13" s="101"/>
      <c r="G13" s="101"/>
      <c r="H13" s="26"/>
      <c r="I13" s="38">
        <f>I9</f>
        <v>9.8777355899618939</v>
      </c>
      <c r="J13" s="38">
        <f t="shared" ref="J13:M13" si="2">J9</f>
        <v>10.059064739272099</v>
      </c>
      <c r="K13" s="38">
        <f t="shared" si="2"/>
        <v>10.263280998703612</v>
      </c>
      <c r="L13" s="38">
        <f t="shared" si="2"/>
        <v>10.491608211160754</v>
      </c>
      <c r="M13" s="38">
        <f t="shared" si="2"/>
        <v>10.745433721450031</v>
      </c>
    </row>
    <row r="14" spans="1:13" ht="15.75" thickBot="1" x14ac:dyDescent="0.3">
      <c r="B14" s="10" t="s">
        <v>120</v>
      </c>
      <c r="C14" s="102"/>
      <c r="D14" s="102"/>
      <c r="E14" s="102"/>
      <c r="F14" s="102"/>
      <c r="G14" s="102"/>
      <c r="H14" s="103"/>
      <c r="I14" s="40">
        <f>I12+I13</f>
        <v>25.431982549767483</v>
      </c>
      <c r="J14" s="40">
        <f t="shared" ref="J14:M14" si="3">J12+J13</f>
        <v>25.058580765244741</v>
      </c>
      <c r="K14" s="40">
        <f t="shared" si="3"/>
        <v>24.721567890585227</v>
      </c>
      <c r="L14" s="40">
        <f t="shared" si="3"/>
        <v>24.418530860160573</v>
      </c>
      <c r="M14" s="40">
        <f t="shared" si="3"/>
        <v>24.147168045444388</v>
      </c>
    </row>
    <row r="15" spans="1:13" ht="15.75" thickTop="1" x14ac:dyDescent="0.25"/>
    <row r="16" spans="1:13" ht="15.75" x14ac:dyDescent="0.25">
      <c r="B16" s="97" t="s">
        <v>121</v>
      </c>
      <c r="C16" s="97"/>
      <c r="D16" s="97"/>
      <c r="E16" s="97"/>
      <c r="F16" s="97"/>
      <c r="G16" s="97"/>
      <c r="H16" s="99" t="str">
        <f>H6</f>
        <v>FY 2017A</v>
      </c>
      <c r="I16" s="99" t="str">
        <f t="shared" ref="I16:M16" si="4">I6</f>
        <v>FY2018E</v>
      </c>
      <c r="J16" s="99" t="str">
        <f t="shared" si="4"/>
        <v>FY2019E</v>
      </c>
      <c r="K16" s="99" t="str">
        <f t="shared" si="4"/>
        <v>FY2020E</v>
      </c>
      <c r="L16" s="99" t="str">
        <f t="shared" si="4"/>
        <v>FY2021E</v>
      </c>
      <c r="M16" s="99" t="str">
        <f t="shared" si="4"/>
        <v>FY2022E</v>
      </c>
    </row>
    <row r="17" spans="2:13" x14ac:dyDescent="0.25">
      <c r="B17" s="32" t="s">
        <v>148</v>
      </c>
      <c r="C17" s="106"/>
      <c r="D17" s="106"/>
      <c r="E17" s="106"/>
      <c r="F17" s="106"/>
      <c r="G17" s="106"/>
      <c r="H17" s="104"/>
      <c r="I17" s="105">
        <v>11.360303514734891</v>
      </c>
      <c r="J17" s="105">
        <v>11.79492656041673</v>
      </c>
      <c r="K17" s="105">
        <v>12.265161909563522</v>
      </c>
      <c r="L17" s="105">
        <v>12.774047339799504</v>
      </c>
      <c r="M17" s="105">
        <v>13.324934863146924</v>
      </c>
    </row>
    <row r="18" spans="2:13" s="109" customFormat="1" x14ac:dyDescent="0.25">
      <c r="B18" s="107"/>
      <c r="C18" s="108"/>
      <c r="D18" s="108"/>
      <c r="E18" s="108"/>
      <c r="F18" s="108"/>
      <c r="G18" s="108"/>
      <c r="I18" s="110"/>
      <c r="J18" s="110"/>
      <c r="K18" s="110"/>
      <c r="L18" s="110"/>
      <c r="M18" s="110"/>
    </row>
    <row r="19" spans="2:13" s="109" customFormat="1" x14ac:dyDescent="0.25">
      <c r="B19" s="111" t="s">
        <v>122</v>
      </c>
      <c r="C19" s="108"/>
      <c r="D19" s="108"/>
      <c r="E19" s="108"/>
      <c r="F19" s="108"/>
      <c r="G19" s="108"/>
      <c r="H19" s="105">
        <v>-12.185999999999996</v>
      </c>
      <c r="I19" s="105">
        <v>-11.997718255105742</v>
      </c>
      <c r="J19" s="105">
        <v>-11.790966237528966</v>
      </c>
      <c r="K19" s="105">
        <v>-11.564486767994861</v>
      </c>
      <c r="L19" s="105">
        <v>-11.316882652080341</v>
      </c>
      <c r="M19" s="105">
        <v>-11.046602470051123</v>
      </c>
    </row>
    <row r="20" spans="2:13" x14ac:dyDescent="0.25">
      <c r="B20" s="31" t="s">
        <v>123</v>
      </c>
      <c r="C20" s="112"/>
      <c r="D20" s="112"/>
      <c r="E20" s="112"/>
      <c r="F20" s="112"/>
      <c r="G20" s="112"/>
      <c r="H20" s="113"/>
      <c r="I20" s="114">
        <f>I19-H19</f>
        <v>0.18828174489425464</v>
      </c>
      <c r="J20" s="114">
        <f t="shared" ref="J20:M20" si="5">J19-I19</f>
        <v>0.20675201757677542</v>
      </c>
      <c r="K20" s="114">
        <f t="shared" si="5"/>
        <v>0.22647946953410525</v>
      </c>
      <c r="L20" s="114">
        <f t="shared" si="5"/>
        <v>0.2476041159145197</v>
      </c>
      <c r="M20" s="114">
        <f t="shared" si="5"/>
        <v>0.270280182029218</v>
      </c>
    </row>
    <row r="21" spans="2:13" ht="15.75" thickBot="1" x14ac:dyDescent="0.3">
      <c r="B21" s="10" t="s">
        <v>121</v>
      </c>
      <c r="C21" s="115"/>
      <c r="D21" s="115"/>
      <c r="E21" s="115"/>
      <c r="F21" s="115"/>
      <c r="G21" s="115"/>
      <c r="H21" s="116"/>
      <c r="I21" s="40">
        <f>I17+I20</f>
        <v>11.548585259629146</v>
      </c>
      <c r="J21" s="40">
        <f t="shared" ref="J21:M21" si="6">J17+J20</f>
        <v>12.001678577993506</v>
      </c>
      <c r="K21" s="40">
        <f t="shared" si="6"/>
        <v>12.491641379097628</v>
      </c>
      <c r="L21" s="40">
        <f t="shared" si="6"/>
        <v>13.021651455714023</v>
      </c>
      <c r="M21" s="40">
        <f t="shared" si="6"/>
        <v>13.595215045176142</v>
      </c>
    </row>
    <row r="22" spans="2:13" ht="15.75" thickTop="1" x14ac:dyDescent="0.25"/>
    <row r="23" spans="2:13" ht="15.75" x14ac:dyDescent="0.25">
      <c r="B23" s="117" t="s">
        <v>124</v>
      </c>
      <c r="C23" s="118"/>
      <c r="D23" s="118"/>
      <c r="E23" s="118"/>
      <c r="F23" s="118"/>
      <c r="G23" s="118"/>
      <c r="H23" s="99" t="str">
        <f t="shared" ref="H23:M23" si="7">H16</f>
        <v>FY 2017A</v>
      </c>
      <c r="I23" s="99" t="str">
        <f t="shared" si="7"/>
        <v>FY2018E</v>
      </c>
      <c r="J23" s="99" t="str">
        <f t="shared" si="7"/>
        <v>FY2019E</v>
      </c>
      <c r="K23" s="99" t="str">
        <f t="shared" si="7"/>
        <v>FY2020E</v>
      </c>
      <c r="L23" s="99" t="str">
        <f t="shared" si="7"/>
        <v>FY2021E</v>
      </c>
      <c r="M23" s="99" t="str">
        <f t="shared" si="7"/>
        <v>FY2022E</v>
      </c>
    </row>
    <row r="24" spans="2:13" ht="15.75" thickBot="1" x14ac:dyDescent="0.3">
      <c r="B24" s="10" t="s">
        <v>125</v>
      </c>
      <c r="C24" s="102"/>
      <c r="D24" s="102"/>
      <c r="E24" s="102"/>
      <c r="F24" s="102"/>
      <c r="G24" s="102"/>
      <c r="H24" s="119"/>
      <c r="I24" s="40">
        <f>I14-I21</f>
        <v>13.883397290138337</v>
      </c>
      <c r="J24" s="40">
        <f t="shared" ref="J24:M24" si="8">J14-J21</f>
        <v>13.056902187251236</v>
      </c>
      <c r="K24" s="40">
        <f t="shared" si="8"/>
        <v>12.2299265114876</v>
      </c>
      <c r="L24" s="40">
        <f t="shared" si="8"/>
        <v>11.396879404446549</v>
      </c>
      <c r="M24" s="40">
        <f t="shared" si="8"/>
        <v>10.551953000268247</v>
      </c>
    </row>
    <row r="25" spans="2:13" ht="15.75" thickTop="1" x14ac:dyDescent="0.25"/>
    <row r="26" spans="2:13" ht="15.75" x14ac:dyDescent="0.25">
      <c r="B26" s="117" t="s">
        <v>126</v>
      </c>
      <c r="C26" s="118"/>
      <c r="D26" s="118"/>
      <c r="E26" s="118"/>
      <c r="F26" s="118"/>
      <c r="G26" s="118"/>
      <c r="H26" s="99" t="s">
        <v>127</v>
      </c>
    </row>
    <row r="27" spans="2:13" ht="15.75" x14ac:dyDescent="0.25">
      <c r="B27" s="120" t="s">
        <v>128</v>
      </c>
      <c r="C27" s="121"/>
      <c r="D27" s="121"/>
      <c r="E27" s="121"/>
      <c r="F27" s="121"/>
      <c r="G27" s="121"/>
      <c r="H27" s="139">
        <v>0.31</v>
      </c>
      <c r="I27" t="s">
        <v>159</v>
      </c>
    </row>
    <row r="28" spans="2:13" ht="15.75" x14ac:dyDescent="0.25">
      <c r="B28" s="120" t="s">
        <v>129</v>
      </c>
      <c r="C28" s="121"/>
      <c r="D28" s="121"/>
      <c r="E28" s="121"/>
      <c r="F28" s="121"/>
      <c r="G28" s="121"/>
      <c r="H28" s="139">
        <v>0.02</v>
      </c>
      <c r="I28" t="s">
        <v>160</v>
      </c>
      <c r="K28" s="123"/>
    </row>
    <row r="29" spans="2:13" ht="15.75" x14ac:dyDescent="0.25">
      <c r="B29" s="120" t="s">
        <v>130</v>
      </c>
      <c r="C29" s="121"/>
      <c r="D29" s="121"/>
      <c r="E29" s="121"/>
      <c r="F29" s="121"/>
      <c r="G29" s="121"/>
      <c r="H29" s="139">
        <v>6.3E-2</v>
      </c>
      <c r="I29" t="s">
        <v>160</v>
      </c>
    </row>
    <row r="30" spans="2:13" ht="15.75" x14ac:dyDescent="0.25">
      <c r="B30" s="120" t="s">
        <v>131</v>
      </c>
      <c r="C30" s="121"/>
      <c r="D30" s="121"/>
      <c r="E30" s="121"/>
      <c r="F30" s="121"/>
      <c r="G30" s="121"/>
      <c r="H30" s="139">
        <v>0.15</v>
      </c>
      <c r="I30" t="s">
        <v>160</v>
      </c>
    </row>
    <row r="31" spans="2:13" ht="15.75" thickBot="1" x14ac:dyDescent="0.3">
      <c r="B31" s="10" t="s">
        <v>132</v>
      </c>
      <c r="C31" s="102"/>
      <c r="D31" s="102"/>
      <c r="E31" s="102"/>
      <c r="F31" s="102"/>
      <c r="G31" s="102"/>
      <c r="H31" s="124">
        <f>H28*(1-H27)*H30+H29*(1-H30)</f>
        <v>5.5620000000000003E-2</v>
      </c>
      <c r="I31" t="s">
        <v>133</v>
      </c>
    </row>
    <row r="32" spans="2:13" ht="15.75" thickTop="1" x14ac:dyDescent="0.25"/>
    <row r="33" spans="2:13" ht="15.75" x14ac:dyDescent="0.25">
      <c r="B33" s="117" t="s">
        <v>134</v>
      </c>
      <c r="C33" s="118"/>
      <c r="D33" s="118"/>
      <c r="E33" s="118"/>
      <c r="F33" s="118"/>
      <c r="G33" s="118"/>
      <c r="H33" s="99" t="str">
        <f>H23</f>
        <v>FY 2017A</v>
      </c>
      <c r="I33" s="99" t="str">
        <f t="shared" ref="I33:M33" si="9">I23</f>
        <v>FY2018E</v>
      </c>
      <c r="J33" s="99" t="str">
        <f t="shared" si="9"/>
        <v>FY2019E</v>
      </c>
      <c r="K33" s="99" t="str">
        <f t="shared" si="9"/>
        <v>FY2020E</v>
      </c>
      <c r="L33" s="99" t="str">
        <f t="shared" si="9"/>
        <v>FY2021E</v>
      </c>
      <c r="M33" s="99" t="str">
        <f t="shared" si="9"/>
        <v>FY2022E</v>
      </c>
    </row>
    <row r="34" spans="2:13" x14ac:dyDescent="0.25">
      <c r="B34" s="7" t="s">
        <v>135</v>
      </c>
      <c r="C34" s="100"/>
      <c r="D34" s="100"/>
      <c r="E34" s="100"/>
      <c r="F34" s="100"/>
      <c r="G34" s="100"/>
      <c r="H34" s="21"/>
      <c r="I34" s="125">
        <v>1</v>
      </c>
      <c r="J34" s="125">
        <v>2</v>
      </c>
      <c r="K34" s="125">
        <v>3</v>
      </c>
      <c r="L34" s="125">
        <v>4</v>
      </c>
      <c r="M34" s="125">
        <v>5</v>
      </c>
    </row>
    <row r="35" spans="2:13" x14ac:dyDescent="0.25">
      <c r="B35" s="8" t="s">
        <v>136</v>
      </c>
      <c r="C35" s="101"/>
      <c r="D35" s="101"/>
      <c r="E35" s="101"/>
      <c r="F35" s="101"/>
      <c r="G35" s="101"/>
      <c r="H35" s="126"/>
      <c r="I35" s="127">
        <f>1/(1+$H$31)^I34</f>
        <v>0.94731058524847955</v>
      </c>
      <c r="J35" s="127">
        <f t="shared" ref="J35:M35" si="10">1/(1+$H$31)^J34</f>
        <v>0.89739734492381695</v>
      </c>
      <c r="K35" s="127">
        <f t="shared" si="10"/>
        <v>0.85011400402021275</v>
      </c>
      <c r="L35" s="127">
        <f t="shared" si="10"/>
        <v>0.80532199467631604</v>
      </c>
      <c r="M35" s="127">
        <f t="shared" si="10"/>
        <v>0.76289005009029387</v>
      </c>
    </row>
    <row r="36" spans="2:13" ht="15.75" thickBot="1" x14ac:dyDescent="0.3">
      <c r="B36" s="10" t="s">
        <v>137</v>
      </c>
      <c r="C36" s="102"/>
      <c r="D36" s="102"/>
      <c r="E36" s="102"/>
      <c r="F36" s="102"/>
      <c r="G36" s="102"/>
      <c r="H36" s="128"/>
      <c r="I36" s="40">
        <f>I24*I35</f>
        <v>13.151889212158103</v>
      </c>
      <c r="J36" s="40">
        <f t="shared" ref="J36:M36" si="11">J24*J35</f>
        <v>11.717229355769238</v>
      </c>
      <c r="K36" s="40">
        <f t="shared" si="11"/>
        <v>10.396831795553675</v>
      </c>
      <c r="L36" s="40">
        <f t="shared" si="11"/>
        <v>9.1781576550743207</v>
      </c>
      <c r="M36" s="40">
        <f t="shared" si="11"/>
        <v>8.0499799529250691</v>
      </c>
    </row>
    <row r="37" spans="2:13" ht="15.75" thickTop="1" x14ac:dyDescent="0.25"/>
    <row r="38" spans="2:13" ht="15.75" x14ac:dyDescent="0.25">
      <c r="B38" s="117" t="s">
        <v>138</v>
      </c>
      <c r="C38" s="118"/>
      <c r="D38" s="118"/>
      <c r="E38" s="118"/>
      <c r="F38" s="118"/>
      <c r="G38" s="118"/>
      <c r="H38" s="99" t="str">
        <f>H33</f>
        <v>FY 2017A</v>
      </c>
      <c r="I38" s="99" t="str">
        <f t="shared" ref="I38:M38" si="12">I33</f>
        <v>FY2018E</v>
      </c>
      <c r="J38" s="99" t="str">
        <f t="shared" si="12"/>
        <v>FY2019E</v>
      </c>
      <c r="K38" s="99" t="str">
        <f t="shared" si="12"/>
        <v>FY2020E</v>
      </c>
      <c r="L38" s="99" t="str">
        <f t="shared" si="12"/>
        <v>FY2021E</v>
      </c>
      <c r="M38" s="99" t="str">
        <f t="shared" si="12"/>
        <v>FY2022E</v>
      </c>
    </row>
    <row r="39" spans="2:13" x14ac:dyDescent="0.25">
      <c r="B39" t="s">
        <v>139</v>
      </c>
      <c r="M39" s="122">
        <f>MIN(2%,3.5%)</f>
        <v>0.02</v>
      </c>
    </row>
    <row r="40" spans="2:13" x14ac:dyDescent="0.25">
      <c r="B40" t="s">
        <v>140</v>
      </c>
      <c r="I40" t="s">
        <v>141</v>
      </c>
      <c r="M40" s="34">
        <f>M24*(1+M39)/(H31-M39)</f>
        <v>302.16148400543551</v>
      </c>
    </row>
    <row r="41" spans="2:13" x14ac:dyDescent="0.25">
      <c r="B41" t="s">
        <v>142</v>
      </c>
      <c r="M41" s="34">
        <f>M40*M35</f>
        <v>230.51598966826424</v>
      </c>
    </row>
    <row r="42" spans="2:13" x14ac:dyDescent="0.25"/>
    <row r="43" spans="2:13" ht="15.75" x14ac:dyDescent="0.25">
      <c r="B43" s="117" t="s">
        <v>143</v>
      </c>
      <c r="C43" s="118"/>
      <c r="D43" s="118"/>
      <c r="E43" s="118"/>
      <c r="F43" s="118"/>
      <c r="G43" s="118"/>
      <c r="H43" s="99" t="s">
        <v>109</v>
      </c>
    </row>
    <row r="44" spans="2:13" x14ac:dyDescent="0.25">
      <c r="B44" s="9" t="s">
        <v>154</v>
      </c>
      <c r="C44" s="100"/>
      <c r="D44" s="100"/>
      <c r="E44" s="100"/>
      <c r="F44" s="100"/>
      <c r="G44" s="100"/>
      <c r="H44" s="129">
        <f>SUM(I36:M36,M41)</f>
        <v>283.01007763974462</v>
      </c>
    </row>
    <row r="45" spans="2:13" x14ac:dyDescent="0.25">
      <c r="B45" s="7" t="s">
        <v>149</v>
      </c>
      <c r="C45" s="100"/>
      <c r="D45" s="100"/>
      <c r="E45" s="100"/>
      <c r="F45" s="100"/>
      <c r="G45" s="100"/>
      <c r="H45" s="129">
        <f>'Forecasted IS and BS'!H35</f>
        <v>3.9199999999999995</v>
      </c>
    </row>
    <row r="46" spans="2:13" x14ac:dyDescent="0.25">
      <c r="B46" s="7" t="s">
        <v>150</v>
      </c>
      <c r="C46" s="100"/>
      <c r="D46" s="100"/>
      <c r="E46" s="100"/>
      <c r="F46" s="100"/>
      <c r="G46" s="100"/>
      <c r="H46" s="129">
        <f>'Forecasted IS and BS'!H40</f>
        <v>42.018000000000001</v>
      </c>
    </row>
    <row r="47" spans="2:13" x14ac:dyDescent="0.25">
      <c r="B47" s="7" t="s">
        <v>151</v>
      </c>
      <c r="C47" s="100"/>
      <c r="D47" s="100"/>
      <c r="E47" s="100"/>
      <c r="F47" s="100"/>
      <c r="G47" s="100"/>
      <c r="H47" s="129">
        <f>'Forecasted IS and BS'!H41</f>
        <v>9.3439999999999994</v>
      </c>
    </row>
    <row r="48" spans="2:13" x14ac:dyDescent="0.25">
      <c r="B48" s="7" t="s">
        <v>152</v>
      </c>
      <c r="C48" s="100"/>
      <c r="D48" s="100"/>
      <c r="E48" s="100"/>
      <c r="F48" s="100"/>
      <c r="G48" s="100"/>
      <c r="H48" s="129">
        <f>'Forecasted IS and BS'!H22</f>
        <v>6.867</v>
      </c>
    </row>
    <row r="49" spans="2:12" x14ac:dyDescent="0.25">
      <c r="B49" s="8" t="s">
        <v>153</v>
      </c>
      <c r="C49" s="101"/>
      <c r="D49" s="101"/>
      <c r="E49" s="101"/>
      <c r="F49" s="101"/>
      <c r="G49" s="101"/>
      <c r="H49" s="136">
        <f>'Forecasted IS and BS'!H31</f>
        <v>9.9209999999999994</v>
      </c>
    </row>
    <row r="50" spans="2:12" x14ac:dyDescent="0.25">
      <c r="B50" s="132" t="s">
        <v>157</v>
      </c>
      <c r="C50" s="131"/>
      <c r="D50" s="131"/>
      <c r="E50" s="131"/>
      <c r="F50" s="131"/>
      <c r="G50" s="131"/>
      <c r="H50" s="35">
        <f>H44-SUM(H45:H47)+SUM(H48:H49)</f>
        <v>244.51607763974462</v>
      </c>
      <c r="J50" s="1" t="s">
        <v>161</v>
      </c>
      <c r="L50" s="140">
        <f>H50/('Forecasted IS and BS'!H43+'Forecasted IS and BS'!H44)</f>
        <v>3.0361467391785513</v>
      </c>
    </row>
    <row r="51" spans="2:12" x14ac:dyDescent="0.25">
      <c r="B51" s="137" t="s">
        <v>155</v>
      </c>
      <c r="C51" s="138"/>
      <c r="D51" s="138"/>
      <c r="E51" s="138"/>
      <c r="F51" s="138"/>
      <c r="G51" s="138"/>
      <c r="H51" s="39">
        <f>L50*'Forecasted IS and BS'!H43</f>
        <v>8.3099336251316949</v>
      </c>
    </row>
    <row r="52" spans="2:12" x14ac:dyDescent="0.25">
      <c r="B52" s="132" t="s">
        <v>156</v>
      </c>
      <c r="C52" s="131"/>
      <c r="D52" s="131"/>
      <c r="E52" s="131"/>
      <c r="F52" s="131"/>
      <c r="G52" s="131"/>
      <c r="H52" s="35">
        <f>H50-H51</f>
        <v>236.20614401461293</v>
      </c>
    </row>
    <row r="53" spans="2:12" x14ac:dyDescent="0.25">
      <c r="B53" s="130" t="s">
        <v>144</v>
      </c>
      <c r="C53" s="126"/>
      <c r="D53" s="126"/>
      <c r="E53" s="126"/>
      <c r="F53" s="126"/>
      <c r="G53" s="126"/>
      <c r="H53" s="127">
        <v>3.1120000000000001</v>
      </c>
    </row>
    <row r="54" spans="2:12" x14ac:dyDescent="0.25">
      <c r="B54" s="132" t="s">
        <v>158</v>
      </c>
      <c r="C54" s="131"/>
      <c r="D54" s="131"/>
      <c r="E54" s="131"/>
      <c r="F54" s="131"/>
      <c r="G54" s="131"/>
      <c r="H54" s="94">
        <f>H52/H53</f>
        <v>75.901717228346058</v>
      </c>
    </row>
    <row r="55" spans="2:12" x14ac:dyDescent="0.25">
      <c r="B55" s="130" t="s">
        <v>145</v>
      </c>
      <c r="C55" s="101"/>
      <c r="D55" s="101"/>
      <c r="E55" s="101"/>
      <c r="F55" s="101"/>
      <c r="G55" s="101"/>
      <c r="H55" s="133">
        <v>80</v>
      </c>
    </row>
    <row r="56" spans="2:12" x14ac:dyDescent="0.25">
      <c r="B56" s="132" t="s">
        <v>146</v>
      </c>
      <c r="H56" s="134">
        <f>H54/H55-1</f>
        <v>-5.1228534645674229E-2</v>
      </c>
    </row>
    <row r="57" spans="2:12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2"/>
  <sheetViews>
    <sheetView showGridLines="0" topLeftCell="A52" zoomScale="130" zoomScaleNormal="130" workbookViewId="0">
      <selection activeCell="B58" sqref="B58"/>
    </sheetView>
  </sheetViews>
  <sheetFormatPr defaultColWidth="0" defaultRowHeight="15" zeroHeight="1" x14ac:dyDescent="0.25"/>
  <cols>
    <col min="1" max="1" width="3.5703125" style="142" customWidth="1"/>
    <col min="2" max="2" width="39.140625" style="142" customWidth="1"/>
    <col min="3" max="6" width="12.5703125" style="142" hidden="1" customWidth="1"/>
    <col min="7" max="7" width="12" style="142" hidden="1" customWidth="1"/>
    <col min="8" max="13" width="13.42578125" style="142" customWidth="1"/>
    <col min="14" max="14" width="9.140625" style="142" customWidth="1"/>
    <col min="15" max="16384" width="9.140625" style="142" hidden="1"/>
  </cols>
  <sheetData>
    <row r="1" spans="1:13" x14ac:dyDescent="0.25">
      <c r="A1" s="141" t="s">
        <v>46</v>
      </c>
    </row>
    <row r="2" spans="1:13" x14ac:dyDescent="0.25">
      <c r="A2" s="142" t="s">
        <v>106</v>
      </c>
    </row>
    <row r="3" spans="1:13" ht="18.75" x14ac:dyDescent="0.3">
      <c r="A3" s="142" t="s">
        <v>90</v>
      </c>
      <c r="B3" s="143"/>
      <c r="C3" s="143"/>
      <c r="D3" s="143"/>
      <c r="E3" s="143"/>
      <c r="F3" s="143"/>
      <c r="G3" s="143"/>
    </row>
    <row r="4" spans="1:13" x14ac:dyDescent="0.25"/>
    <row r="5" spans="1:13" ht="15.75" x14ac:dyDescent="0.25">
      <c r="B5" s="144" t="s">
        <v>107</v>
      </c>
      <c r="C5" s="145"/>
      <c r="D5" s="145"/>
      <c r="E5" s="145"/>
      <c r="F5" s="145"/>
      <c r="G5" s="145"/>
      <c r="H5" s="146"/>
      <c r="I5" s="146"/>
      <c r="J5" s="146"/>
      <c r="K5" s="146"/>
      <c r="L5" s="146"/>
      <c r="M5" s="146"/>
    </row>
    <row r="6" spans="1:13" ht="15.75" x14ac:dyDescent="0.25">
      <c r="B6" s="147" t="s">
        <v>108</v>
      </c>
      <c r="C6" s="147"/>
      <c r="D6" s="147"/>
      <c r="E6" s="147"/>
      <c r="F6" s="147"/>
      <c r="G6" s="147"/>
      <c r="H6" s="148" t="s">
        <v>109</v>
      </c>
      <c r="I6" s="148" t="s">
        <v>110</v>
      </c>
      <c r="J6" s="148" t="s">
        <v>111</v>
      </c>
      <c r="K6" s="148" t="s">
        <v>112</v>
      </c>
      <c r="L6" s="148" t="s">
        <v>113</v>
      </c>
      <c r="M6" s="148" t="s">
        <v>114</v>
      </c>
    </row>
    <row r="7" spans="1:13" x14ac:dyDescent="0.25">
      <c r="B7" s="149" t="s">
        <v>1</v>
      </c>
      <c r="C7" s="150"/>
      <c r="D7" s="150"/>
      <c r="E7" s="150"/>
      <c r="F7" s="150"/>
      <c r="G7" s="150"/>
      <c r="H7" s="151"/>
      <c r="I7" s="152">
        <f>'Forecasted IS and BS'!I6</f>
        <v>490.61680465430481</v>
      </c>
      <c r="J7" s="152">
        <f>'Forecasted IS and BS'!J6</f>
        <v>496.38815889472329</v>
      </c>
      <c r="K7" s="152">
        <f>'Forecasted IS and BS'!K6</f>
        <v>503.22018058395736</v>
      </c>
      <c r="L7" s="152">
        <f>'Forecasted IS and BS'!L6</f>
        <v>511.15267493453769</v>
      </c>
      <c r="M7" s="152">
        <f>'Forecasted IS and BS'!M6</f>
        <v>520.2325182422386</v>
      </c>
    </row>
    <row r="8" spans="1:13" x14ac:dyDescent="0.25">
      <c r="B8" s="149" t="s">
        <v>115</v>
      </c>
      <c r="C8" s="150"/>
      <c r="D8" s="150"/>
      <c r="E8" s="150"/>
      <c r="F8" s="150"/>
      <c r="G8" s="150"/>
      <c r="H8" s="151"/>
      <c r="I8" s="152">
        <f>'Forecasted IS and BS'!I7+'Forecasted IS and BS'!I9</f>
        <v>458.43336697694804</v>
      </c>
      <c r="J8" s="152">
        <f>'Forecasted IS and BS'!J7+'Forecasted IS and BS'!J9</f>
        <v>464.81890875110213</v>
      </c>
      <c r="K8" s="152">
        <f>'Forecasted IS and BS'!K7+'Forecasted IS and BS'!K9</f>
        <v>472.22286849150873</v>
      </c>
      <c r="L8" s="152">
        <f>'Forecasted IS and BS'!L7+'Forecasted IS and BS'!L9</f>
        <v>480.6890431078624</v>
      </c>
      <c r="M8" s="152">
        <f>'Forecasted IS and BS'!M7+'Forecasted IS and BS'!M9</f>
        <v>490.26821175517517</v>
      </c>
    </row>
    <row r="9" spans="1:13" x14ac:dyDescent="0.25">
      <c r="B9" s="153" t="s">
        <v>116</v>
      </c>
      <c r="C9" s="154"/>
      <c r="D9" s="154"/>
      <c r="E9" s="154"/>
      <c r="F9" s="154"/>
      <c r="G9" s="154"/>
      <c r="H9" s="155"/>
      <c r="I9" s="156">
        <f>'Forecasted IS and BS'!I10</f>
        <v>9.8777355899618939</v>
      </c>
      <c r="J9" s="156">
        <f>'Forecasted IS and BS'!J10</f>
        <v>10.059064739272099</v>
      </c>
      <c r="K9" s="156">
        <f>'Forecasted IS and BS'!K10</f>
        <v>10.263280998703612</v>
      </c>
      <c r="L9" s="156">
        <f>'Forecasted IS and BS'!L10</f>
        <v>10.491608211160754</v>
      </c>
      <c r="M9" s="156">
        <f>'Forecasted IS and BS'!M10</f>
        <v>10.745433721450031</v>
      </c>
    </row>
    <row r="10" spans="1:13" x14ac:dyDescent="0.25">
      <c r="B10" s="157" t="s">
        <v>117</v>
      </c>
      <c r="C10" s="158"/>
      <c r="D10" s="158"/>
      <c r="E10" s="158"/>
      <c r="F10" s="158"/>
      <c r="G10" s="158"/>
      <c r="H10" s="159"/>
      <c r="I10" s="160">
        <f>I7-I8-I9</f>
        <v>22.305702087394884</v>
      </c>
      <c r="J10" s="160">
        <f t="shared" ref="J10:M10" si="0">J7-J8-J9</f>
        <v>21.510185404349063</v>
      </c>
      <c r="K10" s="160">
        <f t="shared" si="0"/>
        <v>20.73403109374501</v>
      </c>
      <c r="L10" s="160">
        <f t="shared" si="0"/>
        <v>19.97202361551453</v>
      </c>
      <c r="M10" s="160">
        <f t="shared" si="0"/>
        <v>19.218872765613394</v>
      </c>
    </row>
    <row r="11" spans="1:13" x14ac:dyDescent="0.25">
      <c r="B11" s="153" t="s">
        <v>118</v>
      </c>
      <c r="C11" s="154"/>
      <c r="D11" s="154"/>
      <c r="E11" s="154"/>
      <c r="F11" s="154"/>
      <c r="G11" s="154"/>
      <c r="H11" s="155"/>
      <c r="I11" s="156">
        <f>'Key ratios'!I11*Sensitivity!I10</f>
        <v>6.7514551275892956</v>
      </c>
      <c r="J11" s="156">
        <f>'Key ratios'!J11*Sensitivity!J10</f>
        <v>6.5106693783764209</v>
      </c>
      <c r="K11" s="156">
        <f>'Key ratios'!K11*Sensitivity!K10</f>
        <v>6.2757442018633931</v>
      </c>
      <c r="L11" s="156">
        <f>'Key ratios'!L11*Sensitivity!L10</f>
        <v>6.0451009665147133</v>
      </c>
      <c r="M11" s="156">
        <f>'Key ratios'!M11*Sensitivity!M10</f>
        <v>5.8171384416190381</v>
      </c>
    </row>
    <row r="12" spans="1:13" x14ac:dyDescent="0.25">
      <c r="B12" s="157" t="s">
        <v>147</v>
      </c>
      <c r="C12" s="158"/>
      <c r="D12" s="158"/>
      <c r="E12" s="158"/>
      <c r="F12" s="158"/>
      <c r="G12" s="158"/>
      <c r="H12" s="159"/>
      <c r="I12" s="160">
        <f>I10-I11</f>
        <v>15.554246959805589</v>
      </c>
      <c r="J12" s="160">
        <f t="shared" ref="J12:M12" si="1">J10-J11</f>
        <v>14.999516025972643</v>
      </c>
      <c r="K12" s="160">
        <f t="shared" si="1"/>
        <v>14.458286891881617</v>
      </c>
      <c r="L12" s="160">
        <f t="shared" si="1"/>
        <v>13.926922648999817</v>
      </c>
      <c r="M12" s="160">
        <f t="shared" si="1"/>
        <v>13.401734323994356</v>
      </c>
    </row>
    <row r="13" spans="1:13" x14ac:dyDescent="0.25">
      <c r="B13" s="153" t="s">
        <v>119</v>
      </c>
      <c r="C13" s="154"/>
      <c r="D13" s="154"/>
      <c r="E13" s="154"/>
      <c r="F13" s="154"/>
      <c r="G13" s="154"/>
      <c r="H13" s="155"/>
      <c r="I13" s="156">
        <f>I9</f>
        <v>9.8777355899618939</v>
      </c>
      <c r="J13" s="156">
        <f t="shared" ref="J13:M13" si="2">J9</f>
        <v>10.059064739272099</v>
      </c>
      <c r="K13" s="156">
        <f t="shared" si="2"/>
        <v>10.263280998703612</v>
      </c>
      <c r="L13" s="156">
        <f t="shared" si="2"/>
        <v>10.491608211160754</v>
      </c>
      <c r="M13" s="156">
        <f t="shared" si="2"/>
        <v>10.745433721450031</v>
      </c>
    </row>
    <row r="14" spans="1:13" ht="15.75" thickBot="1" x14ac:dyDescent="0.3">
      <c r="B14" s="161" t="s">
        <v>120</v>
      </c>
      <c r="C14" s="162"/>
      <c r="D14" s="162"/>
      <c r="E14" s="162"/>
      <c r="F14" s="162"/>
      <c r="G14" s="162"/>
      <c r="H14" s="163"/>
      <c r="I14" s="164">
        <f>I12+I13</f>
        <v>25.431982549767483</v>
      </c>
      <c r="J14" s="164">
        <f t="shared" ref="J14:M14" si="3">J12+J13</f>
        <v>25.058580765244741</v>
      </c>
      <c r="K14" s="164">
        <f t="shared" si="3"/>
        <v>24.721567890585227</v>
      </c>
      <c r="L14" s="164">
        <f t="shared" si="3"/>
        <v>24.418530860160573</v>
      </c>
      <c r="M14" s="164">
        <f t="shared" si="3"/>
        <v>24.147168045444388</v>
      </c>
    </row>
    <row r="15" spans="1:13" ht="15.75" thickTop="1" x14ac:dyDescent="0.25"/>
    <row r="16" spans="1:13" ht="15.75" x14ac:dyDescent="0.25">
      <c r="B16" s="147" t="s">
        <v>121</v>
      </c>
      <c r="C16" s="147"/>
      <c r="D16" s="147"/>
      <c r="E16" s="147"/>
      <c r="F16" s="147"/>
      <c r="G16" s="147"/>
      <c r="H16" s="148" t="str">
        <f>H6</f>
        <v>FY 2017A</v>
      </c>
      <c r="I16" s="148" t="str">
        <f t="shared" ref="I16:M16" si="4">I6</f>
        <v>FY2018E</v>
      </c>
      <c r="J16" s="148" t="str">
        <f t="shared" si="4"/>
        <v>FY2019E</v>
      </c>
      <c r="K16" s="148" t="str">
        <f t="shared" si="4"/>
        <v>FY2020E</v>
      </c>
      <c r="L16" s="148" t="str">
        <f t="shared" si="4"/>
        <v>FY2021E</v>
      </c>
      <c r="M16" s="148" t="str">
        <f t="shared" si="4"/>
        <v>FY2022E</v>
      </c>
    </row>
    <row r="17" spans="2:13" x14ac:dyDescent="0.25">
      <c r="B17" s="149" t="s">
        <v>148</v>
      </c>
      <c r="C17" s="165"/>
      <c r="D17" s="165"/>
      <c r="E17" s="165"/>
      <c r="F17" s="165"/>
      <c r="G17" s="165"/>
      <c r="H17" s="151"/>
      <c r="I17" s="152">
        <v>11.360303514734891</v>
      </c>
      <c r="J17" s="152">
        <v>11.79492656041673</v>
      </c>
      <c r="K17" s="152">
        <v>12.265161909563522</v>
      </c>
      <c r="L17" s="152">
        <v>12.774047339799504</v>
      </c>
      <c r="M17" s="152">
        <v>13.324934863146924</v>
      </c>
    </row>
    <row r="18" spans="2:13" s="168" customFormat="1" x14ac:dyDescent="0.25">
      <c r="B18" s="166"/>
      <c r="C18" s="167"/>
      <c r="D18" s="167"/>
      <c r="E18" s="167"/>
      <c r="F18" s="167"/>
      <c r="G18" s="167"/>
      <c r="I18" s="169"/>
      <c r="J18" s="169"/>
      <c r="K18" s="169"/>
      <c r="L18" s="169"/>
      <c r="M18" s="169"/>
    </row>
    <row r="19" spans="2:13" s="168" customFormat="1" x14ac:dyDescent="0.25">
      <c r="B19" s="170" t="s">
        <v>122</v>
      </c>
      <c r="C19" s="167"/>
      <c r="D19" s="167"/>
      <c r="E19" s="167"/>
      <c r="F19" s="167"/>
      <c r="G19" s="167"/>
      <c r="H19" s="152">
        <v>-12.185999999999996</v>
      </c>
      <c r="I19" s="152">
        <v>-11.997718255105742</v>
      </c>
      <c r="J19" s="152">
        <v>-11.790966237528966</v>
      </c>
      <c r="K19" s="152">
        <v>-11.564486767994861</v>
      </c>
      <c r="L19" s="152">
        <v>-11.316882652080341</v>
      </c>
      <c r="M19" s="152">
        <v>-11.046602470051123</v>
      </c>
    </row>
    <row r="20" spans="2:13" x14ac:dyDescent="0.25">
      <c r="B20" s="153" t="s">
        <v>123</v>
      </c>
      <c r="C20" s="154"/>
      <c r="D20" s="154"/>
      <c r="E20" s="154"/>
      <c r="F20" s="154"/>
      <c r="G20" s="154"/>
      <c r="H20" s="171"/>
      <c r="I20" s="172">
        <f>I19-H19</f>
        <v>0.18828174489425464</v>
      </c>
      <c r="J20" s="172">
        <f t="shared" ref="J20:M20" si="5">J19-I19</f>
        <v>0.20675201757677542</v>
      </c>
      <c r="K20" s="172">
        <f t="shared" si="5"/>
        <v>0.22647946953410525</v>
      </c>
      <c r="L20" s="172">
        <f t="shared" si="5"/>
        <v>0.2476041159145197</v>
      </c>
      <c r="M20" s="172">
        <f t="shared" si="5"/>
        <v>0.270280182029218</v>
      </c>
    </row>
    <row r="21" spans="2:13" ht="15.75" thickBot="1" x14ac:dyDescent="0.3">
      <c r="B21" s="161" t="s">
        <v>121</v>
      </c>
      <c r="C21" s="173"/>
      <c r="D21" s="173"/>
      <c r="E21" s="173"/>
      <c r="F21" s="173"/>
      <c r="G21" s="173"/>
      <c r="H21" s="174"/>
      <c r="I21" s="164">
        <f>I17+I20</f>
        <v>11.548585259629146</v>
      </c>
      <c r="J21" s="164">
        <f t="shared" ref="J21:M21" si="6">J17+J20</f>
        <v>12.001678577993506</v>
      </c>
      <c r="K21" s="164">
        <f t="shared" si="6"/>
        <v>12.491641379097628</v>
      </c>
      <c r="L21" s="164">
        <f t="shared" si="6"/>
        <v>13.021651455714023</v>
      </c>
      <c r="M21" s="164">
        <f t="shared" si="6"/>
        <v>13.595215045176142</v>
      </c>
    </row>
    <row r="22" spans="2:13" ht="15.75" thickTop="1" x14ac:dyDescent="0.25"/>
    <row r="23" spans="2:13" ht="15.75" x14ac:dyDescent="0.25">
      <c r="B23" s="175" t="s">
        <v>124</v>
      </c>
      <c r="C23" s="176"/>
      <c r="D23" s="176"/>
      <c r="E23" s="176"/>
      <c r="F23" s="176"/>
      <c r="G23" s="176"/>
      <c r="H23" s="148" t="str">
        <f t="shared" ref="H23:M23" si="7">H16</f>
        <v>FY 2017A</v>
      </c>
      <c r="I23" s="148" t="str">
        <f t="shared" si="7"/>
        <v>FY2018E</v>
      </c>
      <c r="J23" s="148" t="str">
        <f t="shared" si="7"/>
        <v>FY2019E</v>
      </c>
      <c r="K23" s="148" t="str">
        <f t="shared" si="7"/>
        <v>FY2020E</v>
      </c>
      <c r="L23" s="148" t="str">
        <f t="shared" si="7"/>
        <v>FY2021E</v>
      </c>
      <c r="M23" s="148" t="str">
        <f t="shared" si="7"/>
        <v>FY2022E</v>
      </c>
    </row>
    <row r="24" spans="2:13" ht="15.75" thickBot="1" x14ac:dyDescent="0.3">
      <c r="B24" s="161" t="s">
        <v>125</v>
      </c>
      <c r="C24" s="162"/>
      <c r="D24" s="162"/>
      <c r="E24" s="162"/>
      <c r="F24" s="162"/>
      <c r="G24" s="162"/>
      <c r="H24" s="177"/>
      <c r="I24" s="164">
        <f>I14-I21</f>
        <v>13.883397290138337</v>
      </c>
      <c r="J24" s="164">
        <f t="shared" ref="J24:M24" si="8">J14-J21</f>
        <v>13.056902187251236</v>
      </c>
      <c r="K24" s="164">
        <f t="shared" si="8"/>
        <v>12.2299265114876</v>
      </c>
      <c r="L24" s="164">
        <f t="shared" si="8"/>
        <v>11.396879404446549</v>
      </c>
      <c r="M24" s="164">
        <f t="shared" si="8"/>
        <v>10.551953000268247</v>
      </c>
    </row>
    <row r="25" spans="2:13" ht="15.75" thickTop="1" x14ac:dyDescent="0.25"/>
    <row r="26" spans="2:13" ht="15.75" x14ac:dyDescent="0.25">
      <c r="B26" s="175" t="s">
        <v>126</v>
      </c>
      <c r="C26" s="176"/>
      <c r="D26" s="176"/>
      <c r="E26" s="176"/>
      <c r="F26" s="176"/>
      <c r="G26" s="176"/>
      <c r="H26" s="148" t="s">
        <v>127</v>
      </c>
    </row>
    <row r="27" spans="2:13" ht="15.75" x14ac:dyDescent="0.25">
      <c r="B27" s="178" t="s">
        <v>128</v>
      </c>
      <c r="C27" s="179"/>
      <c r="D27" s="179"/>
      <c r="E27" s="179"/>
      <c r="F27" s="179"/>
      <c r="G27" s="179"/>
      <c r="H27" s="180">
        <v>0.31</v>
      </c>
      <c r="I27" s="142" t="s">
        <v>159</v>
      </c>
    </row>
    <row r="28" spans="2:13" ht="15.75" x14ac:dyDescent="0.25">
      <c r="B28" s="178" t="s">
        <v>129</v>
      </c>
      <c r="C28" s="179"/>
      <c r="D28" s="179"/>
      <c r="E28" s="179"/>
      <c r="F28" s="179"/>
      <c r="G28" s="179"/>
      <c r="H28" s="180">
        <v>0.02</v>
      </c>
      <c r="I28" s="142" t="s">
        <v>160</v>
      </c>
      <c r="K28" s="181"/>
    </row>
    <row r="29" spans="2:13" ht="15.75" x14ac:dyDescent="0.25">
      <c r="B29" s="178" t="s">
        <v>130</v>
      </c>
      <c r="C29" s="179"/>
      <c r="D29" s="179"/>
      <c r="E29" s="179"/>
      <c r="F29" s="179"/>
      <c r="G29" s="179"/>
      <c r="H29" s="180">
        <v>6.3E-2</v>
      </c>
      <c r="I29" s="142" t="s">
        <v>160</v>
      </c>
    </row>
    <row r="30" spans="2:13" ht="15.75" x14ac:dyDescent="0.25">
      <c r="B30" s="178" t="s">
        <v>131</v>
      </c>
      <c r="C30" s="179"/>
      <c r="D30" s="179"/>
      <c r="E30" s="179"/>
      <c r="F30" s="179"/>
      <c r="G30" s="179"/>
      <c r="H30" s="180">
        <v>0.15</v>
      </c>
      <c r="I30" s="142" t="s">
        <v>160</v>
      </c>
    </row>
    <row r="31" spans="2:13" ht="15.75" thickBot="1" x14ac:dyDescent="0.3">
      <c r="B31" s="161" t="s">
        <v>132</v>
      </c>
      <c r="C31" s="162"/>
      <c r="D31" s="162"/>
      <c r="E31" s="162"/>
      <c r="F31" s="162"/>
      <c r="G31" s="162"/>
      <c r="H31" s="182">
        <f>H28*(1-H27)*H30+H29*(1-H30)</f>
        <v>5.5620000000000003E-2</v>
      </c>
      <c r="I31" s="142" t="s">
        <v>133</v>
      </c>
    </row>
    <row r="32" spans="2:13" ht="15.75" thickTop="1" x14ac:dyDescent="0.25"/>
    <row r="33" spans="2:13" ht="15.75" x14ac:dyDescent="0.25">
      <c r="B33" s="175" t="s">
        <v>134</v>
      </c>
      <c r="C33" s="176"/>
      <c r="D33" s="176"/>
      <c r="E33" s="176"/>
      <c r="F33" s="176"/>
      <c r="G33" s="176"/>
      <c r="H33" s="148" t="str">
        <f>H23</f>
        <v>FY 2017A</v>
      </c>
      <c r="I33" s="148" t="str">
        <f t="shared" ref="I33:M33" si="9">I23</f>
        <v>FY2018E</v>
      </c>
      <c r="J33" s="148" t="str">
        <f t="shared" si="9"/>
        <v>FY2019E</v>
      </c>
      <c r="K33" s="148" t="str">
        <f t="shared" si="9"/>
        <v>FY2020E</v>
      </c>
      <c r="L33" s="148" t="str">
        <f t="shared" si="9"/>
        <v>FY2021E</v>
      </c>
      <c r="M33" s="148" t="str">
        <f t="shared" si="9"/>
        <v>FY2022E</v>
      </c>
    </row>
    <row r="34" spans="2:13" x14ac:dyDescent="0.25">
      <c r="B34" s="149" t="s">
        <v>135</v>
      </c>
      <c r="C34" s="150"/>
      <c r="D34" s="150"/>
      <c r="E34" s="150"/>
      <c r="F34" s="150"/>
      <c r="G34" s="150"/>
      <c r="H34" s="183"/>
      <c r="I34" s="184">
        <v>1</v>
      </c>
      <c r="J34" s="184">
        <v>2</v>
      </c>
      <c r="K34" s="184">
        <v>3</v>
      </c>
      <c r="L34" s="184">
        <v>4</v>
      </c>
      <c r="M34" s="184">
        <v>5</v>
      </c>
    </row>
    <row r="35" spans="2:13" x14ac:dyDescent="0.25">
      <c r="B35" s="153" t="s">
        <v>136</v>
      </c>
      <c r="C35" s="154"/>
      <c r="D35" s="154"/>
      <c r="E35" s="154"/>
      <c r="F35" s="154"/>
      <c r="G35" s="154"/>
      <c r="H35" s="171"/>
      <c r="I35" s="172">
        <f>1/(1+$H$31)^I34</f>
        <v>0.94731058524847955</v>
      </c>
      <c r="J35" s="172">
        <f t="shared" ref="J35:M35" si="10">1/(1+$H$31)^J34</f>
        <v>0.89739734492381695</v>
      </c>
      <c r="K35" s="172">
        <f t="shared" si="10"/>
        <v>0.85011400402021275</v>
      </c>
      <c r="L35" s="172">
        <f t="shared" si="10"/>
        <v>0.80532199467631604</v>
      </c>
      <c r="M35" s="172">
        <f t="shared" si="10"/>
        <v>0.76289005009029387</v>
      </c>
    </row>
    <row r="36" spans="2:13" ht="15.75" thickBot="1" x14ac:dyDescent="0.3">
      <c r="B36" s="161" t="s">
        <v>137</v>
      </c>
      <c r="C36" s="162"/>
      <c r="D36" s="162"/>
      <c r="E36" s="162"/>
      <c r="F36" s="162"/>
      <c r="G36" s="162"/>
      <c r="H36" s="185"/>
      <c r="I36" s="164">
        <f>I24*I35</f>
        <v>13.151889212158103</v>
      </c>
      <c r="J36" s="164">
        <f t="shared" ref="J36:M36" si="11">J24*J35</f>
        <v>11.717229355769238</v>
      </c>
      <c r="K36" s="164">
        <f t="shared" si="11"/>
        <v>10.396831795553675</v>
      </c>
      <c r="L36" s="164">
        <f t="shared" si="11"/>
        <v>9.1781576550743207</v>
      </c>
      <c r="M36" s="164">
        <f t="shared" si="11"/>
        <v>8.0499799529250691</v>
      </c>
    </row>
    <row r="37" spans="2:13" ht="15.75" thickTop="1" x14ac:dyDescent="0.25"/>
    <row r="38" spans="2:13" ht="15.75" x14ac:dyDescent="0.25">
      <c r="B38" s="175" t="s">
        <v>138</v>
      </c>
      <c r="C38" s="176"/>
      <c r="D38" s="176"/>
      <c r="E38" s="176"/>
      <c r="F38" s="176"/>
      <c r="G38" s="176"/>
      <c r="H38" s="148" t="str">
        <f>H33</f>
        <v>FY 2017A</v>
      </c>
      <c r="I38" s="148" t="str">
        <f t="shared" ref="I38:M38" si="12">I33</f>
        <v>FY2018E</v>
      </c>
      <c r="J38" s="148" t="str">
        <f t="shared" si="12"/>
        <v>FY2019E</v>
      </c>
      <c r="K38" s="148" t="str">
        <f t="shared" si="12"/>
        <v>FY2020E</v>
      </c>
      <c r="L38" s="148" t="str">
        <f t="shared" si="12"/>
        <v>FY2021E</v>
      </c>
      <c r="M38" s="148" t="str">
        <f t="shared" si="12"/>
        <v>FY2022E</v>
      </c>
    </row>
    <row r="39" spans="2:13" x14ac:dyDescent="0.25">
      <c r="B39" s="142" t="s">
        <v>139</v>
      </c>
      <c r="M39" s="186">
        <f>MIN(2%,3.5%)</f>
        <v>0.02</v>
      </c>
    </row>
    <row r="40" spans="2:13" x14ac:dyDescent="0.25">
      <c r="B40" s="142" t="s">
        <v>140</v>
      </c>
      <c r="I40" s="142" t="s">
        <v>141</v>
      </c>
      <c r="M40" s="152">
        <f>M24*(1+M39)/(H31-M39)</f>
        <v>302.16148400543551</v>
      </c>
    </row>
    <row r="41" spans="2:13" x14ac:dyDescent="0.25">
      <c r="B41" s="142" t="s">
        <v>142</v>
      </c>
      <c r="M41" s="152">
        <f>M40*M35</f>
        <v>230.51598966826424</v>
      </c>
    </row>
    <row r="42" spans="2:13" x14ac:dyDescent="0.25"/>
    <row r="43" spans="2:13" ht="15.75" x14ac:dyDescent="0.25">
      <c r="B43" s="175" t="s">
        <v>143</v>
      </c>
      <c r="C43" s="176"/>
      <c r="D43" s="176"/>
      <c r="E43" s="176"/>
      <c r="F43" s="176"/>
      <c r="G43" s="176"/>
      <c r="H43" s="148" t="s">
        <v>109</v>
      </c>
    </row>
    <row r="44" spans="2:13" x14ac:dyDescent="0.25">
      <c r="B44" s="157" t="s">
        <v>154</v>
      </c>
      <c r="C44" s="150"/>
      <c r="D44" s="150"/>
      <c r="E44" s="150"/>
      <c r="F44" s="150"/>
      <c r="G44" s="150"/>
      <c r="H44" s="187">
        <f>SUM(I36:M36,M41)</f>
        <v>283.01007763974462</v>
      </c>
    </row>
    <row r="45" spans="2:13" x14ac:dyDescent="0.25">
      <c r="B45" s="149" t="s">
        <v>149</v>
      </c>
      <c r="C45" s="150"/>
      <c r="D45" s="150"/>
      <c r="E45" s="150"/>
      <c r="F45" s="150"/>
      <c r="G45" s="150"/>
      <c r="H45" s="187">
        <f>'Forecasted IS and BS'!H35</f>
        <v>3.9199999999999995</v>
      </c>
    </row>
    <row r="46" spans="2:13" x14ac:dyDescent="0.25">
      <c r="B46" s="149" t="s">
        <v>150</v>
      </c>
      <c r="C46" s="150"/>
      <c r="D46" s="150"/>
      <c r="E46" s="150"/>
      <c r="F46" s="150"/>
      <c r="G46" s="150"/>
      <c r="H46" s="187">
        <f>'Forecasted IS and BS'!H40</f>
        <v>42.018000000000001</v>
      </c>
    </row>
    <row r="47" spans="2:13" x14ac:dyDescent="0.25">
      <c r="B47" s="149" t="s">
        <v>151</v>
      </c>
      <c r="C47" s="150"/>
      <c r="D47" s="150"/>
      <c r="E47" s="150"/>
      <c r="F47" s="150"/>
      <c r="G47" s="150"/>
      <c r="H47" s="187">
        <f>'Forecasted IS and BS'!H41</f>
        <v>9.3439999999999994</v>
      </c>
    </row>
    <row r="48" spans="2:13" x14ac:dyDescent="0.25">
      <c r="B48" s="149" t="s">
        <v>152</v>
      </c>
      <c r="C48" s="150"/>
      <c r="D48" s="150"/>
      <c r="E48" s="150"/>
      <c r="F48" s="150"/>
      <c r="G48" s="150"/>
      <c r="H48" s="187">
        <f>'Forecasted IS and BS'!H22</f>
        <v>6.867</v>
      </c>
    </row>
    <row r="49" spans="2:13" x14ac:dyDescent="0.25">
      <c r="B49" s="153" t="s">
        <v>153</v>
      </c>
      <c r="C49" s="154"/>
      <c r="D49" s="154"/>
      <c r="E49" s="154"/>
      <c r="F49" s="154"/>
      <c r="G49" s="154"/>
      <c r="H49" s="188">
        <f>'Forecasted IS and BS'!H31</f>
        <v>9.9209999999999994</v>
      </c>
    </row>
    <row r="50" spans="2:13" x14ac:dyDescent="0.25">
      <c r="B50" s="189" t="s">
        <v>157</v>
      </c>
      <c r="C50" s="190"/>
      <c r="D50" s="190"/>
      <c r="E50" s="190"/>
      <c r="F50" s="190"/>
      <c r="G50" s="190"/>
      <c r="H50" s="160">
        <f>H44-SUM(H45:H47)+SUM(H48:H49)</f>
        <v>244.51607763974462</v>
      </c>
      <c r="J50" s="141" t="s">
        <v>161</v>
      </c>
      <c r="L50" s="191">
        <f>H50/('Forecasted IS and BS'!H43+'Forecasted IS and BS'!H44)</f>
        <v>3.0361467391785513</v>
      </c>
    </row>
    <row r="51" spans="2:13" x14ac:dyDescent="0.25">
      <c r="B51" s="192" t="s">
        <v>155</v>
      </c>
      <c r="C51" s="193"/>
      <c r="D51" s="193"/>
      <c r="E51" s="193"/>
      <c r="F51" s="193"/>
      <c r="G51" s="193"/>
      <c r="H51" s="156">
        <f>L50*'Forecasted IS and BS'!H43</f>
        <v>8.3099336251316949</v>
      </c>
    </row>
    <row r="52" spans="2:13" x14ac:dyDescent="0.25">
      <c r="B52" s="189" t="s">
        <v>156</v>
      </c>
      <c r="C52" s="190"/>
      <c r="D52" s="190"/>
      <c r="E52" s="190"/>
      <c r="F52" s="190"/>
      <c r="G52" s="190"/>
      <c r="H52" s="160">
        <f>H50-H51</f>
        <v>236.20614401461293</v>
      </c>
    </row>
    <row r="53" spans="2:13" x14ac:dyDescent="0.25">
      <c r="B53" s="192" t="s">
        <v>144</v>
      </c>
      <c r="C53" s="171"/>
      <c r="D53" s="171"/>
      <c r="E53" s="171"/>
      <c r="F53" s="171"/>
      <c r="G53" s="171"/>
      <c r="H53" s="172">
        <v>3.1120000000000001</v>
      </c>
    </row>
    <row r="54" spans="2:13" x14ac:dyDescent="0.25">
      <c r="B54" s="189" t="s">
        <v>158</v>
      </c>
      <c r="C54" s="190"/>
      <c r="D54" s="190"/>
      <c r="E54" s="190"/>
      <c r="F54" s="190"/>
      <c r="G54" s="190"/>
      <c r="H54" s="194">
        <f>H52/H53</f>
        <v>75.901717228346058</v>
      </c>
    </row>
    <row r="55" spans="2:13" x14ac:dyDescent="0.25">
      <c r="B55" s="192" t="s">
        <v>145</v>
      </c>
      <c r="C55" s="154"/>
      <c r="D55" s="154"/>
      <c r="E55" s="154"/>
      <c r="F55" s="154"/>
      <c r="G55" s="154"/>
      <c r="H55" s="195">
        <v>80</v>
      </c>
    </row>
    <row r="56" spans="2:13" x14ac:dyDescent="0.25">
      <c r="B56" s="189" t="s">
        <v>146</v>
      </c>
      <c r="H56" s="196">
        <f>H54/H55-1</f>
        <v>-5.1228534645674229E-2</v>
      </c>
    </row>
    <row r="57" spans="2:13" s="183" customFormat="1" ht="15.75" thickBot="1" x14ac:dyDescent="0.3">
      <c r="B57" s="190"/>
      <c r="H57" s="197"/>
    </row>
    <row r="58" spans="2:13" s="183" customFormat="1" ht="15.75" thickBot="1" x14ac:dyDescent="0.3">
      <c r="B58" s="198" t="s">
        <v>162</v>
      </c>
      <c r="C58" s="199"/>
      <c r="D58" s="199"/>
      <c r="E58" s="199"/>
      <c r="F58" s="199"/>
      <c r="G58" s="199"/>
      <c r="H58" s="218" t="s">
        <v>163</v>
      </c>
      <c r="I58" s="219"/>
      <c r="J58" s="219"/>
      <c r="K58" s="219"/>
      <c r="L58" s="219"/>
      <c r="M58" s="220"/>
    </row>
    <row r="59" spans="2:13" s="183" customFormat="1" ht="15.75" thickBot="1" x14ac:dyDescent="0.3">
      <c r="B59" s="221" t="s">
        <v>164</v>
      </c>
      <c r="C59" s="200"/>
      <c r="D59" s="200"/>
      <c r="E59" s="200"/>
      <c r="F59" s="200"/>
      <c r="G59" s="200"/>
      <c r="H59" s="201"/>
      <c r="I59" s="202">
        <f>J59-0.5%</f>
        <v>9.9999999999999985E-3</v>
      </c>
      <c r="J59" s="202">
        <f>K59-0.5%</f>
        <v>1.4999999999999999E-2</v>
      </c>
      <c r="K59" s="202">
        <v>0.02</v>
      </c>
      <c r="L59" s="202">
        <f>K59+0.5%</f>
        <v>2.5000000000000001E-2</v>
      </c>
      <c r="M59" s="203">
        <f>L59+0.5%</f>
        <v>3.0000000000000002E-2</v>
      </c>
    </row>
    <row r="60" spans="2:13" s="183" customFormat="1" x14ac:dyDescent="0.25">
      <c r="B60" s="222"/>
      <c r="C60" s="204"/>
      <c r="D60" s="204"/>
      <c r="E60" s="204"/>
      <c r="F60" s="204"/>
      <c r="G60" s="204"/>
      <c r="H60" s="205">
        <f>H61-0.5%</f>
        <v>4.5620000000000008E-2</v>
      </c>
      <c r="I60" s="206"/>
      <c r="J60" s="206"/>
      <c r="K60" s="206"/>
      <c r="L60" s="206"/>
      <c r="M60" s="207"/>
    </row>
    <row r="61" spans="2:13" s="183" customFormat="1" x14ac:dyDescent="0.25">
      <c r="B61" s="222"/>
      <c r="C61" s="204"/>
      <c r="D61" s="204"/>
      <c r="E61" s="204"/>
      <c r="F61" s="204"/>
      <c r="G61" s="204"/>
      <c r="H61" s="205">
        <f>H62-0.5%</f>
        <v>5.0620000000000005E-2</v>
      </c>
      <c r="I61" s="206"/>
      <c r="J61" s="206"/>
      <c r="K61" s="206"/>
      <c r="L61" s="206"/>
      <c r="M61" s="207"/>
    </row>
    <row r="62" spans="2:13" s="183" customFormat="1" x14ac:dyDescent="0.25">
      <c r="B62" s="222"/>
      <c r="C62" s="204"/>
      <c r="D62" s="204"/>
      <c r="E62" s="204"/>
      <c r="F62" s="204"/>
      <c r="G62" s="204"/>
      <c r="H62" s="205">
        <v>5.5620000000000003E-2</v>
      </c>
      <c r="I62" s="206"/>
      <c r="J62" s="206"/>
      <c r="K62" s="206"/>
      <c r="L62" s="206"/>
      <c r="M62" s="207"/>
    </row>
    <row r="63" spans="2:13" s="183" customFormat="1" x14ac:dyDescent="0.25">
      <c r="B63" s="222"/>
      <c r="C63" s="204"/>
      <c r="D63" s="204"/>
      <c r="E63" s="204"/>
      <c r="F63" s="204"/>
      <c r="G63" s="204"/>
      <c r="H63" s="205">
        <f>H62+0.5%</f>
        <v>6.062E-2</v>
      </c>
      <c r="I63" s="206"/>
      <c r="J63" s="206"/>
      <c r="K63" s="206"/>
      <c r="L63" s="206"/>
      <c r="M63" s="207"/>
    </row>
    <row r="64" spans="2:13" s="183" customFormat="1" ht="15.75" thickBot="1" x14ac:dyDescent="0.3">
      <c r="B64" s="223"/>
      <c r="C64" s="208"/>
      <c r="D64" s="208"/>
      <c r="E64" s="208"/>
      <c r="F64" s="208"/>
      <c r="G64" s="208"/>
      <c r="H64" s="209">
        <f>H63+0.5%</f>
        <v>6.5619999999999998E-2</v>
      </c>
      <c r="I64" s="210"/>
      <c r="J64" s="210"/>
      <c r="K64" s="210"/>
      <c r="L64" s="210"/>
      <c r="M64" s="211"/>
    </row>
    <row r="65" spans="2:8" s="183" customFormat="1" x14ac:dyDescent="0.25">
      <c r="B65" s="190"/>
      <c r="H65" s="197"/>
    </row>
    <row r="66" spans="2:8" s="183" customFormat="1" x14ac:dyDescent="0.25">
      <c r="B66" s="190"/>
      <c r="H66" s="197"/>
    </row>
    <row r="67" spans="2:8" s="183" customFormat="1" x14ac:dyDescent="0.25">
      <c r="B67" s="190"/>
      <c r="H67" s="197"/>
    </row>
    <row r="68" spans="2:8" s="183" customFormat="1" x14ac:dyDescent="0.25">
      <c r="B68" s="190"/>
      <c r="H68" s="197"/>
    </row>
    <row r="69" spans="2:8" s="183" customFormat="1" x14ac:dyDescent="0.25">
      <c r="B69" s="190"/>
      <c r="H69" s="197"/>
    </row>
    <row r="70" spans="2:8" s="183" customFormat="1" x14ac:dyDescent="0.25">
      <c r="B70" s="190"/>
      <c r="H70" s="197"/>
    </row>
    <row r="71" spans="2:8" s="183" customFormat="1" x14ac:dyDescent="0.25">
      <c r="B71" s="190"/>
      <c r="H71" s="197"/>
    </row>
    <row r="72" spans="2:8" s="183" customFormat="1" x14ac:dyDescent="0.25"/>
  </sheetData>
  <mergeCells count="2">
    <mergeCell ref="H58:M58"/>
    <mergeCell ref="B59:B6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SKILLFIN LEARNING</vt:lpstr>
      <vt:lpstr>Historical IS and BS</vt:lpstr>
      <vt:lpstr>Key ratios</vt:lpstr>
      <vt:lpstr>Forecasted IS and BS</vt:lpstr>
      <vt:lpstr>Forecasted CF statement</vt:lpstr>
      <vt:lpstr>Valuation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Ashishneha</dc:creator>
  <cp:lastModifiedBy>Skillfin Learning</cp:lastModifiedBy>
  <dcterms:created xsi:type="dcterms:W3CDTF">2015-04-20T18:29:57Z</dcterms:created>
  <dcterms:modified xsi:type="dcterms:W3CDTF">2021-07-21T07:13:07Z</dcterms:modified>
</cp:coreProperties>
</file>